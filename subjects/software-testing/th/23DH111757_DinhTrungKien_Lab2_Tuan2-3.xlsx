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ongKet" sheetId="1" state="visible" r:id="rId1"/>
    <sheet name="Add" sheetId="2" state="visible" r:id="rId2"/>
    <sheet name="Subtract" sheetId="3" state="visible" r:id="rId3"/>
    <sheet name="Multiply" sheetId="4" state="visible" r:id="rId4"/>
    <sheet name="Divide" sheetId="5" state="visible" r:id="rId5"/>
    <sheet name="Concatenate" sheetId="6" state="visible" r:id="rId6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<sst xmlns="http://schemas.openxmlformats.org/spreadsheetml/2006/main" count="230" uniqueCount="230">
  <si>
    <t xml:space="preserve">CALCULATOR TEST REPORT</t>
  </si>
  <si>
    <t xml:space="preserve">Software: https://testsheepnz.github.io/BasicCalculator.html</t>
  </si>
  <si>
    <t>Author</t>
  </si>
  <si>
    <t xml:space="preserve">Đinh Trung Kiên</t>
  </si>
  <si>
    <t>ID</t>
  </si>
  <si>
    <t>23DH111757</t>
  </si>
  <si>
    <t xml:space="preserve">Build version</t>
  </si>
  <si>
    <t xml:space="preserve">Number of testcases run</t>
  </si>
  <si>
    <t xml:space="preserve">Number of passed</t>
  </si>
  <si>
    <t xml:space="preserve">Number of failed</t>
  </si>
  <si>
    <t>Date</t>
  </si>
  <si>
    <t>Operation</t>
  </si>
  <si>
    <t>Add</t>
  </si>
  <si>
    <t>Built</t>
  </si>
  <si>
    <t xml:space="preserve"># Test run</t>
  </si>
  <si>
    <t xml:space="preserve"># Failed</t>
  </si>
  <si>
    <t xml:space="preserve"># Passed</t>
  </si>
  <si>
    <t>Id</t>
  </si>
  <si>
    <t>Description</t>
  </si>
  <si>
    <t xml:space="preserve">DATA TEST</t>
  </si>
  <si>
    <t xml:space="preserve">Actual Result</t>
  </si>
  <si>
    <t xml:space="preserve">Expected result</t>
  </si>
  <si>
    <t xml:space="preserve">Result
(Passed/Failed)</t>
  </si>
  <si>
    <t>R</t>
  </si>
  <si>
    <t xml:space="preserve">Integers only</t>
  </si>
  <si>
    <t xml:space="preserve">1st number (a)</t>
  </si>
  <si>
    <t xml:space="preserve">2nd number (b)</t>
  </si>
  <si>
    <t>£</t>
  </si>
  <si>
    <t>AD_01</t>
  </si>
  <si>
    <t xml:space="preserve">a &gt; 0; b &lt; 0 </t>
  </si>
  <si>
    <t>AD_02</t>
  </si>
  <si>
    <t xml:space="preserve">a &lt; 0; b &lt; 0</t>
  </si>
  <si>
    <t>AD_03</t>
  </si>
  <si>
    <t xml:space="preserve">a &gt; 0; b &gt; 0 </t>
  </si>
  <si>
    <t>AD_04</t>
  </si>
  <si>
    <t xml:space="preserve">a &lt; 0; b &gt; 0</t>
  </si>
  <si>
    <t>AD_05</t>
  </si>
  <si>
    <t xml:space="preserve">a = 0; b /= 0</t>
  </si>
  <si>
    <t>AD_06</t>
  </si>
  <si>
    <t xml:space="preserve">a /= 0; b = 0</t>
  </si>
  <si>
    <t>AD_07</t>
  </si>
  <si>
    <t xml:space="preserve">a &gt; 0; b &lt; 0, a là số thực b là số nguyên</t>
  </si>
  <si>
    <t>AD_08</t>
  </si>
  <si>
    <t xml:space="preserve">a &lt; 0; b &lt; 0, a là số thực b là số nguyên</t>
  </si>
  <si>
    <t>AD_09</t>
  </si>
  <si>
    <t xml:space="preserve">a &gt; 0; b &gt; 0, a là số thực b là số nguyên</t>
  </si>
  <si>
    <t>AD_10</t>
  </si>
  <si>
    <t xml:space="preserve">a &lt; 0; b &gt; 0, a là số thực b là số nguyên</t>
  </si>
  <si>
    <t>AD_11</t>
  </si>
  <si>
    <t xml:space="preserve">a = 0; b /= 0, a là số thực b là số nguyên</t>
  </si>
  <si>
    <t>AD_12</t>
  </si>
  <si>
    <t xml:space="preserve">a /= 0; b = 0, a là số thực b là số nguyên</t>
  </si>
  <si>
    <t>AD_13</t>
  </si>
  <si>
    <t xml:space="preserve">a &gt; 0; b &lt; 0, a là số nguyên b là số thực</t>
  </si>
  <si>
    <t>AD_14</t>
  </si>
  <si>
    <t xml:space="preserve">a &lt; 0; b &lt; 0, a là số nguyên b là số thực</t>
  </si>
  <si>
    <t>AD_15</t>
  </si>
  <si>
    <t xml:space="preserve">a &gt; 0; b &gt; 0, a là số nguyên b là số thực</t>
  </si>
  <si>
    <t>AD_16</t>
  </si>
  <si>
    <t xml:space="preserve">a &lt; 0; b &gt; 0, a là số nguyên b là số thực</t>
  </si>
  <si>
    <t>AD_17</t>
  </si>
  <si>
    <t xml:space="preserve">a = 0; b /= 0, a là số nguyên b là số thực</t>
  </si>
  <si>
    <t>AD_18</t>
  </si>
  <si>
    <t xml:space="preserve">a /= 0; b = 0, a là số nguyên b là số thực</t>
  </si>
  <si>
    <t>AD_19</t>
  </si>
  <si>
    <t xml:space="preserve">a &gt; 0; b &lt; 0, Cả a và b đều là số thực</t>
  </si>
  <si>
    <t>AD_20</t>
  </si>
  <si>
    <t xml:space="preserve">a &lt; 0; b &lt; 0, Cả a và b đều là số thực</t>
  </si>
  <si>
    <t>AD_21</t>
  </si>
  <si>
    <t xml:space="preserve">a &gt; 0; b &gt; 0, Cả a và b đều là số thực</t>
  </si>
  <si>
    <t>AD_22</t>
  </si>
  <si>
    <t xml:space="preserve">a &lt; 0; b &gt; 0, Cả a và b đều là số thực</t>
  </si>
  <si>
    <t>AD_23</t>
  </si>
  <si>
    <t xml:space="preserve">a = 0; b /= 0, Cả a và b đều là số thực</t>
  </si>
  <si>
    <t>AD_24</t>
  </si>
  <si>
    <t xml:space="preserve">a /= 0; b = 0, Cả a và b đều là số thực</t>
  </si>
  <si>
    <t>Subtract</t>
  </si>
  <si>
    <t>SU_01</t>
  </si>
  <si>
    <t xml:space="preserve">a &gt; 0; b &lt; 0, a,b là số nguyên</t>
  </si>
  <si>
    <t>SU_02</t>
  </si>
  <si>
    <t xml:space="preserve">a = 0; b &lt; 0, a,b là số nguyên</t>
  </si>
  <si>
    <t>SU_03</t>
  </si>
  <si>
    <t xml:space="preserve">a &lt; 0; b &lt; 0 , a,b là số nguyên</t>
  </si>
  <si>
    <t>SU_04</t>
  </si>
  <si>
    <t xml:space="preserve">a &gt; 0; b &gt;0, a,b là số nguyên</t>
  </si>
  <si>
    <t>SU_05</t>
  </si>
  <si>
    <t xml:space="preserve">a = 0; b &gt;0, a,b là số nguyên</t>
  </si>
  <si>
    <t>SU_06</t>
  </si>
  <si>
    <t xml:space="preserve">a &lt; 0; b &gt; 0 , a,b là số nguyên</t>
  </si>
  <si>
    <t>SU_07</t>
  </si>
  <si>
    <t xml:space="preserve">a &gt; 0; b =0, a,b là số nguyên</t>
  </si>
  <si>
    <t>SU_08</t>
  </si>
  <si>
    <t xml:space="preserve">a = 0; b =0, a,b là số nguyên</t>
  </si>
  <si>
    <t>SU_09</t>
  </si>
  <si>
    <t xml:space="preserve">a &lt; 0; b = 0 , a,b là số nguyên</t>
  </si>
  <si>
    <t>SU_10</t>
  </si>
  <si>
    <t xml:space="preserve">a &gt; 0; b &lt; 0, a,b là số thực</t>
  </si>
  <si>
    <t>SU_11</t>
  </si>
  <si>
    <t xml:space="preserve">a = 0; b &lt; 0, a,b là số thực</t>
  </si>
  <si>
    <t>SU_12</t>
  </si>
  <si>
    <t xml:space="preserve">a &lt; 0; b &lt; 0 , a,b là số thực</t>
  </si>
  <si>
    <t>SU_13</t>
  </si>
  <si>
    <t xml:space="preserve">a &gt; 0; b &gt;0, a,b là số thực</t>
  </si>
  <si>
    <t>SU_14</t>
  </si>
  <si>
    <t xml:space="preserve">a = 0; b &gt;0, a,b là số thực</t>
  </si>
  <si>
    <t>SU_15</t>
  </si>
  <si>
    <t xml:space="preserve">a &lt; 0; b &gt; 0 , a,b là số thực</t>
  </si>
  <si>
    <t>SU_16</t>
  </si>
  <si>
    <t xml:space="preserve">a &gt; 0; b =0, a,b là số thực</t>
  </si>
  <si>
    <t>SU_17</t>
  </si>
  <si>
    <t xml:space="preserve">a = 0; b =0, a,b là số thực</t>
  </si>
  <si>
    <t>SU_18</t>
  </si>
  <si>
    <t xml:space="preserve">a &lt; 0; b = 0 , a,b là số thực</t>
  </si>
  <si>
    <t>SU_19</t>
  </si>
  <si>
    <t xml:space="preserve">a &gt; 0; b &lt; 0, b là số thực, a là số nguyên</t>
  </si>
  <si>
    <t>SU_20</t>
  </si>
  <si>
    <t xml:space="preserve">a = 0; b &lt; 0,  b là số thực, a là số nguyên</t>
  </si>
  <si>
    <t>SU_21</t>
  </si>
  <si>
    <t xml:space="preserve">a &lt; 0; b &lt; 0 ,  b là số thực, a là số nguyên</t>
  </si>
  <si>
    <t>SU_22</t>
  </si>
  <si>
    <t xml:space="preserve">a &gt; 0; b &gt;0,  b là số thực, a là số nguyên</t>
  </si>
  <si>
    <t>SU_23</t>
  </si>
  <si>
    <t xml:space="preserve">a = 0; b &gt;0,  b là số thực, a là số nguyên</t>
  </si>
  <si>
    <t>Su_24</t>
  </si>
  <si>
    <t xml:space="preserve">a &lt; 0; b &gt; 0 , b là số thực, a là số nguyên</t>
  </si>
  <si>
    <t>Su_25</t>
  </si>
  <si>
    <t xml:space="preserve">a &gt; 0; b =0,  b là số thực, a là số nguyên</t>
  </si>
  <si>
    <t>Su_26</t>
  </si>
  <si>
    <t xml:space="preserve">a = 0; b =0,  b là số thực, a là số nguyên</t>
  </si>
  <si>
    <t>Su_27</t>
  </si>
  <si>
    <t xml:space="preserve">a &lt; 0; b = 0 ,  b là số thực, a là số nguyên</t>
  </si>
  <si>
    <t>Su_28</t>
  </si>
  <si>
    <t xml:space="preserve">a &gt; 0; b &lt; 0, b là số nguyên, a là số thực</t>
  </si>
  <si>
    <t>Su_29</t>
  </si>
  <si>
    <t xml:space="preserve">a = 0; b &lt; 0,   b là số nguyên, a là số thực</t>
  </si>
  <si>
    <t>Su_30</t>
  </si>
  <si>
    <t xml:space="preserve">a &lt; 0; b &lt; 0 ,   b là số nguyên, a là số thực</t>
  </si>
  <si>
    <t>Su_31</t>
  </si>
  <si>
    <t xml:space="preserve">a &gt; 0; b &gt;0,   b là số nguyên, a là số thực</t>
  </si>
  <si>
    <t>Su_32</t>
  </si>
  <si>
    <t xml:space="preserve">a = 0; b &gt;0,   b là số nguyên, a là số thực</t>
  </si>
  <si>
    <t>Su_33</t>
  </si>
  <si>
    <t xml:space="preserve">a &lt; 0; b &gt; 0 ,  b là số nguyên, a là số thực</t>
  </si>
  <si>
    <t>Su_34</t>
  </si>
  <si>
    <t>Su_35</t>
  </si>
  <si>
    <t>Su_36</t>
  </si>
  <si>
    <t>Multiply</t>
  </si>
  <si>
    <t>MU_01</t>
  </si>
  <si>
    <t xml:space="preserve">a là số nguyên có 7 chữ số, b là số nguyên nhỏ nhất</t>
  </si>
  <si>
    <t>MU_02</t>
  </si>
  <si>
    <t xml:space="preserve">a là 0 còn b là số nguyên cực nhỏ</t>
  </si>
  <si>
    <t>MU_03</t>
  </si>
  <si>
    <t xml:space="preserve">a là số thực cực nhỏ va b là số thực gần bằng 1</t>
  </si>
  <si>
    <t>MU_04</t>
  </si>
  <si>
    <t xml:space="preserve">a là số thực cực nhỏ va b là số nguyên lớn nhất</t>
  </si>
  <si>
    <t>MU_05</t>
  </si>
  <si>
    <t xml:space="preserve">cả 2 số là số nguyên âm</t>
  </si>
  <si>
    <t>MU_06</t>
  </si>
  <si>
    <t xml:space="preserve">cả 2 là số thực âm</t>
  </si>
  <si>
    <t>MU_07</t>
  </si>
  <si>
    <t>MU_08</t>
  </si>
  <si>
    <t xml:space="preserve">a là số nguyên có 7 chữ số, b là số thực âm nhỏ nhất</t>
  </si>
  <si>
    <t>MU_09</t>
  </si>
  <si>
    <t xml:space="preserve">a là số nguyên có 7 số và b là số thực có 3 số sau ,</t>
  </si>
  <si>
    <t>MU_10</t>
  </si>
  <si>
    <t xml:space="preserve">a là số thực có 3 số sau ',' b là số thực có 2 số sau ','</t>
  </si>
  <si>
    <t>MU_11</t>
  </si>
  <si>
    <t xml:space="preserve">a là số thực toàn 0 và chỉ có số cuối , b là số thực chẵn </t>
  </si>
  <si>
    <t>MU_12</t>
  </si>
  <si>
    <t xml:space="preserve">a và b là 2 số nguyên có 7 chữ số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</si>
  <si>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</si>
  <si>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</si>
  <si>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</si>
  <si>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</si>
  <si>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</si>
  <si>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</si>
  <si>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</si>
  <si>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</si>
  <si>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</si>
  <si>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</si>
  <si>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</si>
  <si>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</si>
  <si>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Divide</t>
  </si>
  <si>
    <t>DI_01</t>
  </si>
  <si>
    <t xml:space="preserve">a là số nguyên có 5 chữ số, b là số nguyên nhỏ nhất</t>
  </si>
  <si>
    <t>DI_02</t>
  </si>
  <si>
    <t xml:space="preserve">a là số nguyên có 5 chữ số, b là số thực âm nhỏ nhất</t>
  </si>
  <si>
    <t>DI_03</t>
  </si>
  <si>
    <t xml:space="preserve">a là số nguyên có 5 số và b là số thực có 3 số sau ,</t>
  </si>
  <si>
    <t>DI_04</t>
  </si>
  <si>
    <t>DI_05</t>
  </si>
  <si>
    <t>DI_06</t>
  </si>
  <si>
    <t>DI_07</t>
  </si>
  <si>
    <t>DI_08</t>
  </si>
  <si>
    <t>Concatenate</t>
  </si>
  <si>
    <t>CO_01</t>
  </si>
  <si>
    <t xml:space="preserve">nhập chuỗi gồm dấu . Và -</t>
  </si>
  <si>
    <t xml:space="preserve">. 76</t>
  </si>
  <si>
    <t xml:space="preserve"> '3 3    -</t>
  </si>
  <si>
    <t xml:space="preserve">. 76 '3 3    -</t>
  </si>
  <si>
    <t>CO_02</t>
  </si>
  <si>
    <t xml:space="preserve">khí hiệu (</t>
  </si>
  <si>
    <t>:)))</t>
  </si>
  <si>
    <t>hhhh</t>
  </si>
  <si>
    <t>:)))hhhh</t>
  </si>
  <si>
    <t>CO_03</t>
  </si>
  <si>
    <t>emochi</t>
  </si>
  <si>
    <t>😴</t>
  </si>
  <si>
    <t>😷</t>
  </si>
  <si>
    <t>😴😷</t>
  </si>
  <si>
    <t>CO_04</t>
  </si>
  <si>
    <t xml:space="preserve">toàn số 0</t>
  </si>
  <si>
    <t>0.000000</t>
  </si>
  <si>
    <t>0.00000000</t>
  </si>
  <si>
    <t>0.0000000.00000000</t>
  </si>
  <si>
    <t>CO_05</t>
  </si>
  <si>
    <t xml:space="preserve">ký hiệu đặc biệt</t>
  </si>
  <si>
    <t xml:space="preserve"> ƿ Ƿ</t>
  </si>
  <si>
    <t xml:space="preserve">ɣ ɤ ۷</t>
  </si>
  <si>
    <t xml:space="preserve"> ƿ Ƿɣ ɤ ۷</t>
  </si>
  <si>
    <t>CO_06</t>
  </si>
  <si>
    <t xml:space="preserve">dấu chấm thang</t>
  </si>
  <si>
    <t xml:space="preserve">!!!! </t>
  </si>
  <si>
    <t xml:space="preserve">? /</t>
  </si>
  <si>
    <t xml:space="preserve">!!!!? /</t>
  </si>
  <si>
    <t>CO_07</t>
  </si>
  <si>
    <t xml:space="preserve">chữ có dấu</t>
  </si>
  <si>
    <t>ă</t>
  </si>
  <si>
    <t xml:space="preserve">gì tộc</t>
  </si>
  <si>
    <t xml:space="preserve">ăgì tộc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</si>
</sst>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"/>
  </numFmts>
  <fonts count="15">
    <font>
      <sz val="11.000000"/>
      <color theme="1"/>
      <name val="Calibri"/>
      <scheme val="minor"/>
    </font>
    <font>
      <b/>
      <sz val="16.000000"/>
      <color theme="1"/>
      <name val="Calibri"/>
      <scheme val="minor"/>
    </font>
    <font>
      <b/>
      <sz val="14.000000"/>
      <color rgb="FF002060"/>
      <name val="Calibri"/>
      <scheme val="minor"/>
    </font>
    <font>
      <b/>
      <sz val="14.000000"/>
      <color theme="9" tint="-0.499984740745262"/>
      <name val="Calibri"/>
      <scheme val="minor"/>
    </font>
    <font>
      <b/>
      <sz val="14.000000"/>
      <color indexed="2"/>
      <name val="Calibri"/>
      <scheme val="minor"/>
    </font>
    <font>
      <sz val="14.000000"/>
      <color indexed="2"/>
      <name val="Calibri"/>
      <scheme val="minor"/>
    </font>
    <font>
      <sz val="11.000000"/>
      <color indexed="2"/>
      <name val="Calibri"/>
      <scheme val="minor"/>
    </font>
    <font>
      <b/>
      <sz val="11.000000"/>
      <color theme="1"/>
      <name val="Calibri"/>
      <scheme val="minor"/>
    </font>
    <font>
      <b/>
      <sz val="14.000000"/>
      <name val="Calibri"/>
      <scheme val="minor"/>
    </font>
    <font>
      <b/>
      <sz val="14.000000"/>
      <color theme="1"/>
      <name val="Calibri"/>
      <scheme val="minor"/>
    </font>
    <font>
      <b/>
      <sz val="11.000000"/>
      <color theme="1"/>
      <name val="Wingdings 2"/>
    </font>
    <font>
      <sz val="11.000000"/>
      <color theme="1"/>
      <name val="Wingdings 2"/>
    </font>
    <font>
      <sz val="14.000000"/>
      <color indexed="63"/>
      <name val="Segoe UI Emoji"/>
    </font>
    <font>
      <sz val="8.000000"/>
      <color indexed="63"/>
      <name val="Calibri"/>
      <scheme val="minor"/>
    </font>
    <font>
      <sz val="10.000000"/>
      <color rgb="FF212529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</patternFill>
    </fill>
    <fill>
      <patternFill patternType="solid">
        <fgColor indexed="5"/>
      </patternFill>
    </fill>
    <fill>
      <patternFill patternType="solid">
        <fgColor rgb="FF92D050"/>
      </patternFill>
    </fill>
    <fill>
      <patternFill patternType="solid">
        <fgColor indexed="2"/>
      </patternFill>
    </fill>
    <fill>
      <patternFill patternType="solid">
        <fgColor rgb="FF7030A0"/>
      </patternFill>
    </fill>
    <fill>
      <patternFill patternType="solid">
        <fgColor theme="2"/>
      </patternFill>
    </fill>
    <fill>
      <patternFill patternType="solid">
        <fgColor theme="7"/>
      </patternFill>
    </fill>
    <fill>
      <patternFill patternType="solid">
        <fgColor theme="9"/>
      </patternFill>
    </fill>
  </fills>
  <borders count="10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1">
    <xf fontId="0" fillId="0" borderId="0" numFmtId="0" xfId="0"/>
    <xf fontId="1" fillId="0" borderId="0" numFmtId="0" xfId="0" applyFont="1"/>
    <xf fontId="1" fillId="0" borderId="1" numFmtId="0" xfId="0" applyFont="1" applyBorder="1" applyAlignment="1">
      <alignment horizontal="center"/>
    </xf>
    <xf fontId="1" fillId="0" borderId="2" numFmtId="0" xfId="0" applyFont="1" applyBorder="1" applyAlignment="1">
      <alignment horizontal="center"/>
    </xf>
    <xf fontId="2" fillId="2" borderId="3" numFmtId="0" xfId="0" applyFont="1" applyFill="1" applyBorder="1"/>
    <xf fontId="3" fillId="2" borderId="3" numFmtId="0" xfId="0" applyFont="1" applyFill="1" applyBorder="1"/>
    <xf fontId="2" fillId="3" borderId="3" numFmtId="0" xfId="0" applyFont="1" applyFill="1" applyBorder="1"/>
    <xf fontId="4" fillId="3" borderId="3" numFmtId="0" xfId="0" applyFont="1" applyFill="1" applyBorder="1" applyAlignment="1">
      <alignment horizontal="left"/>
    </xf>
    <xf fontId="4" fillId="3" borderId="3" numFmtId="0" xfId="0" applyFont="1" applyFill="1" applyBorder="1"/>
    <xf fontId="5" fillId="3" borderId="3" numFmtId="0" xfId="0" applyFont="1" applyFill="1" applyBorder="1"/>
    <xf fontId="6" fillId="3" borderId="3" numFmtId="14" xfId="0" applyNumberFormat="1" applyFont="1" applyFill="1" applyBorder="1"/>
    <xf fontId="1" fillId="0" borderId="0" numFmtId="0" xfId="0" applyFont="1" applyAlignment="1">
      <alignment horizontal="center"/>
    </xf>
    <xf fontId="7" fillId="0" borderId="0" numFmtId="0" xfId="0" applyFont="1"/>
    <xf fontId="8" fillId="3" borderId="4" numFmtId="0" xfId="0" applyFont="1" applyFill="1" applyBorder="1" applyAlignment="1">
      <alignment horizontal="center" vertical="center"/>
    </xf>
    <xf fontId="9" fillId="3" borderId="5" numFmtId="0" xfId="0" applyFont="1" applyFill="1" applyBorder="1" applyAlignment="1">
      <alignment horizontal="center"/>
    </xf>
    <xf fontId="9" fillId="3" borderId="6" numFmtId="0" xfId="0" applyFont="1" applyFill="1" applyBorder="1" applyAlignment="1">
      <alignment horizontal="center"/>
    </xf>
    <xf fontId="9" fillId="3" borderId="7" numFmtId="0" xfId="0" applyFont="1" applyFill="1" applyBorder="1" applyAlignment="1">
      <alignment horizontal="center"/>
    </xf>
    <xf fontId="8" fillId="3" borderId="4" numFmtId="0" xfId="0" applyFont="1" applyFill="1" applyBorder="1" applyAlignment="1">
      <alignment horizontal="center" vertical="center" wrapText="1"/>
    </xf>
    <xf fontId="10" fillId="0" borderId="0" numFmtId="0" xfId="0" applyFont="1"/>
    <xf fontId="8" fillId="3" borderId="8" numFmtId="0" xfId="0" applyFont="1" applyFill="1" applyBorder="1" applyAlignment="1">
      <alignment horizontal="center" vertical="center"/>
    </xf>
    <xf fontId="8" fillId="3" borderId="8" numFmtId="0" xfId="0" applyFont="1" applyFill="1" applyBorder="1" applyAlignment="1">
      <alignment horizontal="center"/>
    </xf>
    <xf fontId="8" fillId="3" borderId="8" numFmtId="0" xfId="0" applyFont="1" applyFill="1" applyBorder="1"/>
    <xf fontId="8" fillId="3" borderId="8" numFmtId="0" xfId="0" applyFont="1" applyFill="1" applyBorder="1" applyAlignment="1">
      <alignment horizontal="center" vertical="center" wrapText="1"/>
    </xf>
    <xf fontId="0" fillId="0" borderId="9" numFmtId="0" xfId="0" applyBorder="1"/>
    <xf fontId="0" fillId="4" borderId="9" numFmtId="0" xfId="0" applyFill="1" applyBorder="1"/>
    <xf fontId="11" fillId="0" borderId="9" numFmtId="0" xfId="0" applyFont="1" applyBorder="1"/>
    <xf fontId="0" fillId="0" borderId="9" numFmtId="2" xfId="0" applyNumberFormat="1" applyBorder="1"/>
    <xf fontId="0" fillId="0" borderId="9" numFmtId="1" xfId="0" applyNumberFormat="1" applyBorder="1"/>
    <xf fontId="0" fillId="0" borderId="9" numFmtId="2" xfId="0" applyNumberFormat="1" applyBorder="1" applyAlignment="1">
      <alignment horizontal="right"/>
    </xf>
    <xf fontId="0" fillId="2" borderId="9" numFmtId="0" xfId="0" applyFill="1" applyBorder="1"/>
    <xf fontId="0" fillId="5" borderId="9" numFmtId="0" xfId="0" applyFill="1" applyBorder="1"/>
    <xf fontId="0" fillId="6" borderId="9" numFmtId="0" xfId="0" applyFill="1" applyBorder="1"/>
    <xf fontId="0" fillId="0" borderId="9" numFmtId="2" xfId="0" applyNumberFormat="1" applyBorder="1" quotePrefix="1"/>
    <xf fontId="0" fillId="0" borderId="9" numFmtId="1" xfId="0" applyNumberFormat="1" applyBorder="1" quotePrefix="1"/>
    <xf fontId="0" fillId="0" borderId="8" numFmtId="0" xfId="0" applyBorder="1"/>
    <xf fontId="0" fillId="0" borderId="8" numFmtId="1" xfId="0" applyNumberFormat="1" applyBorder="1"/>
    <xf fontId="0" fillId="0" borderId="0" numFmtId="1" xfId="0" applyNumberFormat="1"/>
    <xf fontId="0" fillId="0" borderId="0" numFmtId="1" xfId="0" applyNumberFormat="1" quotePrefix="1"/>
    <xf fontId="8" fillId="3" borderId="4" numFmtId="0" xfId="0" applyFont="1" applyFill="1" applyBorder="1" applyAlignment="1">
      <alignment horizontal="center"/>
    </xf>
    <xf fontId="0" fillId="7" borderId="9" numFmtId="0" xfId="0" applyFill="1" applyBorder="1"/>
    <xf fontId="0" fillId="0" borderId="9" numFmtId="1" xfId="0" applyNumberFormat="1" applyBorder="1" applyAlignment="1">
      <alignment horizontal="right"/>
    </xf>
    <xf fontId="0" fillId="3" borderId="9" numFmtId="0" xfId="0" applyFill="1" applyBorder="1"/>
    <xf fontId="0" fillId="8" borderId="9" numFmtId="0" xfId="0" applyFill="1" applyBorder="1"/>
    <xf fontId="0" fillId="0" borderId="9" numFmtId="164" xfId="0" applyNumberFormat="1" applyBorder="1"/>
    <xf fontId="0" fillId="9" borderId="9" numFmtId="0" xfId="0" applyFill="1" applyBorder="1"/>
    <xf fontId="0" fillId="0" borderId="9" numFmtId="164" xfId="0" applyNumberFormat="1" applyBorder="1" quotePrefix="1"/>
    <xf fontId="0" fillId="0" borderId="9" numFmtId="3" xfId="0" applyNumberFormat="1" applyBorder="1"/>
    <xf fontId="0" fillId="0" borderId="9" numFmtId="0" xfId="0" applyBorder="1" applyAlignment="1">
      <alignment wrapText="1"/>
    </xf>
    <xf fontId="12" fillId="0" borderId="0" numFmtId="0" xfId="0" applyFont="1"/>
    <xf fontId="13" fillId="0" borderId="0" numFmtId="0" xfId="0" applyFont="1"/>
    <xf fontId="14" fillId="0" borderId="0" numFmt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11" activeCellId="0" sqref="E11"/>
    </sheetView>
  </sheetViews>
  <sheetFormatPr defaultRowHeight="14.25"/>
  <cols>
    <col customWidth="1" min="2" max="2" width="49.59765625"/>
    <col customWidth="1" min="3" max="3" width="57.296875"/>
  </cols>
  <sheetData>
    <row r="1" ht="21">
      <c r="A1" s="1"/>
      <c r="B1" s="2" t="s">
        <v>0</v>
      </c>
      <c r="C1" s="2"/>
      <c r="D1" s="1"/>
      <c r="E1" s="1"/>
      <c r="F1" s="1"/>
      <c r="G1" s="1"/>
    </row>
    <row r="2" ht="21">
      <c r="A2" s="1"/>
      <c r="B2" s="3" t="s">
        <v>1</v>
      </c>
      <c r="C2" s="3"/>
      <c r="D2" s="1"/>
      <c r="E2" s="1"/>
      <c r="F2" s="1"/>
      <c r="G2" s="1"/>
    </row>
    <row r="3" ht="21">
      <c r="A3" s="1"/>
      <c r="B3" s="2"/>
      <c r="C3" s="2"/>
      <c r="D3" s="1"/>
      <c r="E3" s="1"/>
      <c r="F3" s="1"/>
      <c r="G3" s="1"/>
    </row>
    <row r="4" ht="18.75">
      <c r="B4" s="4" t="s">
        <v>2</v>
      </c>
      <c r="C4" s="5" t="s">
        <v>3</v>
      </c>
    </row>
    <row r="5" ht="18.75">
      <c r="B5" s="4" t="s">
        <v>4</v>
      </c>
      <c r="C5" s="5" t="s">
        <v>5</v>
      </c>
    </row>
    <row r="6" ht="18.75">
      <c r="B6" s="6" t="s">
        <v>6</v>
      </c>
      <c r="C6" s="7">
        <v>3</v>
      </c>
    </row>
    <row r="7" ht="18.75">
      <c r="B7" s="6" t="s">
        <v>7</v>
      </c>
      <c r="C7" s="7">
        <v>94</v>
      </c>
    </row>
    <row r="8" ht="18.75">
      <c r="B8" s="6" t="s">
        <v>8</v>
      </c>
      <c r="C8" s="8">
        <v>93</v>
      </c>
    </row>
    <row r="9" ht="18.75">
      <c r="B9" s="6" t="s">
        <v>9</v>
      </c>
      <c r="C9" s="9">
        <v>7</v>
      </c>
    </row>
    <row r="10" ht="18.75">
      <c r="B10" s="6" t="s">
        <v>10</v>
      </c>
      <c r="C10" s="10"/>
    </row>
  </sheetData>
  <mergeCells count="2">
    <mergeCell ref="B1:C1"/>
    <mergeCell ref="B2:C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0" workbookViewId="0">
      <selection activeCell="D6" activeCellId="0" sqref="D6"/>
    </sheetView>
  </sheetViews>
  <sheetFormatPr defaultRowHeight="13.800000000000001"/>
  <cols>
    <col customWidth="1" min="2" max="2" width="38.296875"/>
    <col customWidth="1" min="3" max="4" width="19.3984375"/>
    <col customWidth="1" min="5" max="5" width="27.09765625"/>
    <col customWidth="1" min="6" max="6" width="24"/>
    <col customWidth="1" min="7" max="7" width="24.296875"/>
    <col customWidth="1" min="8" max="8" width="21"/>
    <col customWidth="1" min="9" max="9" width="16.3984375"/>
    <col customWidth="1" hidden="1" min="13" max="13" width="0"/>
  </cols>
  <sheetData>
    <row r="1" ht="21">
      <c r="A1" s="11" t="s">
        <v>0</v>
      </c>
      <c r="B1" s="11"/>
      <c r="C1" s="11"/>
      <c r="D1" s="11"/>
      <c r="E1" s="11"/>
      <c r="F1" s="11"/>
      <c r="G1" s="11"/>
    </row>
    <row r="2" ht="21">
      <c r="A2" s="11"/>
      <c r="B2" s="11" t="s">
        <v>11</v>
      </c>
      <c r="C2" s="11" t="s">
        <v>12</v>
      </c>
      <c r="D2" s="11"/>
      <c r="E2" s="11"/>
      <c r="F2" s="11"/>
      <c r="G2" s="11"/>
    </row>
    <row r="3" ht="21">
      <c r="A3" s="11"/>
      <c r="B3" s="11" t="s">
        <v>13</v>
      </c>
      <c r="C3" s="11">
        <v>3</v>
      </c>
      <c r="D3" s="11"/>
      <c r="E3" s="11"/>
      <c r="F3" s="11"/>
      <c r="G3" s="11"/>
    </row>
    <row r="4" ht="21">
      <c r="A4" s="11"/>
      <c r="B4" s="11" t="s">
        <v>14</v>
      </c>
      <c r="C4" s="11">
        <v>24</v>
      </c>
      <c r="F4" s="11"/>
      <c r="G4" s="11"/>
    </row>
    <row r="5" ht="21">
      <c r="A5" s="11"/>
      <c r="B5" s="11" t="s">
        <v>15</v>
      </c>
      <c r="C5" s="11">
        <f>COUNTIF(H10:H38,"Failed")</f>
        <v>2</v>
      </c>
      <c r="D5" s="11"/>
      <c r="E5" s="11"/>
      <c r="F5" s="11"/>
      <c r="G5" s="11"/>
    </row>
    <row r="6" ht="21">
      <c r="A6" s="11"/>
      <c r="B6" s="11" t="s">
        <v>16</v>
      </c>
      <c r="C6" s="11">
        <f>COUNTIF(H10:H55,"Passed")</f>
        <v>22</v>
      </c>
      <c r="D6" s="11"/>
      <c r="E6" s="11"/>
      <c r="F6" s="11"/>
      <c r="G6" s="11"/>
    </row>
    <row r="7" ht="14.4"/>
    <row r="8" s="12" customFormat="1" ht="17.399999999999999">
      <c r="A8" s="13" t="s">
        <v>17</v>
      </c>
      <c r="B8" s="13" t="s">
        <v>18</v>
      </c>
      <c r="C8" s="14" t="s">
        <v>19</v>
      </c>
      <c r="D8" s="15"/>
      <c r="E8" s="16"/>
      <c r="F8" s="13" t="s">
        <v>20</v>
      </c>
      <c r="G8" s="13" t="s">
        <v>21</v>
      </c>
      <c r="H8" s="17" t="s">
        <v>22</v>
      </c>
      <c r="M8" s="18" t="s">
        <v>23</v>
      </c>
    </row>
    <row r="9" s="12" customFormat="1" ht="18">
      <c r="A9" s="19"/>
      <c r="B9" s="19"/>
      <c r="C9" s="20" t="s">
        <v>24</v>
      </c>
      <c r="D9" s="21" t="s">
        <v>25</v>
      </c>
      <c r="E9" s="21" t="s">
        <v>26</v>
      </c>
      <c r="F9" s="19"/>
      <c r="G9" s="19"/>
      <c r="H9" s="22"/>
      <c r="M9" s="18" t="s">
        <v>27</v>
      </c>
    </row>
    <row r="10">
      <c r="A10" s="23" t="s">
        <v>28</v>
      </c>
      <c r="B10" s="24" t="s">
        <v>29</v>
      </c>
      <c r="C10" s="25" t="s">
        <v>27</v>
      </c>
      <c r="D10" s="26">
        <v>3</v>
      </c>
      <c r="E10" s="26">
        <v>-4</v>
      </c>
      <c r="F10" s="23">
        <v>-1</v>
      </c>
      <c r="G10" s="27">
        <f t="shared" ref="G10:G33" si="0">SUM(D10,E10)</f>
        <v>-1</v>
      </c>
      <c r="H10" s="23" t="str">
        <f t="shared" ref="H10:H33" si="1">IF(G10=F10,"Passed","Failed")</f>
        <v>Passed</v>
      </c>
    </row>
    <row r="11">
      <c r="A11" s="23" t="s">
        <v>30</v>
      </c>
      <c r="B11" s="24" t="s">
        <v>31</v>
      </c>
      <c r="C11" s="25" t="s">
        <v>27</v>
      </c>
      <c r="D11" s="26">
        <v>-3</v>
      </c>
      <c r="E11" s="26">
        <v>-6</v>
      </c>
      <c r="F11" s="27">
        <v>-9</v>
      </c>
      <c r="G11" s="27">
        <f t="shared" si="0"/>
        <v>-9</v>
      </c>
      <c r="H11" s="23" t="str">
        <f t="shared" si="1"/>
        <v>Passed</v>
      </c>
    </row>
    <row r="12">
      <c r="A12" s="23" t="s">
        <v>32</v>
      </c>
      <c r="B12" s="24" t="s">
        <v>33</v>
      </c>
      <c r="C12" s="25" t="s">
        <v>27</v>
      </c>
      <c r="D12" s="28">
        <v>2</v>
      </c>
      <c r="E12" s="26">
        <v>4</v>
      </c>
      <c r="F12" s="23">
        <v>6</v>
      </c>
      <c r="G12" s="27">
        <f t="shared" si="0"/>
        <v>6</v>
      </c>
      <c r="H12" s="23" t="str">
        <f t="shared" si="1"/>
        <v>Passed</v>
      </c>
    </row>
    <row r="13">
      <c r="A13" s="23" t="s">
        <v>34</v>
      </c>
      <c r="B13" s="24" t="s">
        <v>35</v>
      </c>
      <c r="C13" s="25" t="s">
        <v>27</v>
      </c>
      <c r="D13" s="26">
        <v>-3</v>
      </c>
      <c r="E13" s="26">
        <v>6</v>
      </c>
      <c r="F13" s="23">
        <v>3</v>
      </c>
      <c r="G13" s="27">
        <f t="shared" si="0"/>
        <v>3</v>
      </c>
      <c r="H13" s="23" t="str">
        <f t="shared" si="1"/>
        <v>Passed</v>
      </c>
    </row>
    <row r="14">
      <c r="A14" s="23" t="s">
        <v>36</v>
      </c>
      <c r="B14" s="24" t="s">
        <v>37</v>
      </c>
      <c r="C14" s="25" t="s">
        <v>27</v>
      </c>
      <c r="D14" s="26">
        <v>0</v>
      </c>
      <c r="E14" s="26">
        <v>3</v>
      </c>
      <c r="F14" s="23">
        <v>3</v>
      </c>
      <c r="G14" s="27">
        <f t="shared" si="0"/>
        <v>3</v>
      </c>
      <c r="H14" s="23" t="str">
        <f t="shared" si="1"/>
        <v>Passed</v>
      </c>
    </row>
    <row r="15">
      <c r="A15" s="23" t="s">
        <v>38</v>
      </c>
      <c r="B15" s="24" t="s">
        <v>39</v>
      </c>
      <c r="C15" s="25" t="s">
        <v>27</v>
      </c>
      <c r="D15" s="26">
        <v>6</v>
      </c>
      <c r="E15" s="26">
        <v>0</v>
      </c>
      <c r="F15" s="23">
        <v>6</v>
      </c>
      <c r="G15" s="27">
        <f t="shared" si="0"/>
        <v>6</v>
      </c>
      <c r="H15" s="23" t="str">
        <f t="shared" si="1"/>
        <v>Passed</v>
      </c>
    </row>
    <row r="16">
      <c r="A16" s="23" t="s">
        <v>40</v>
      </c>
      <c r="B16" s="29" t="s">
        <v>41</v>
      </c>
      <c r="C16" s="25" t="s">
        <v>27</v>
      </c>
      <c r="D16" s="26">
        <v>3.6000000000000001</v>
      </c>
      <c r="E16" s="26">
        <v>9</v>
      </c>
      <c r="F16" s="23">
        <v>12.6</v>
      </c>
      <c r="G16" s="27">
        <f t="shared" si="0"/>
        <v>12.6</v>
      </c>
      <c r="H16" s="23" t="str">
        <f t="shared" si="1"/>
        <v>Passed</v>
      </c>
    </row>
    <row r="17">
      <c r="A17" s="23" t="s">
        <v>42</v>
      </c>
      <c r="B17" s="29" t="s">
        <v>43</v>
      </c>
      <c r="C17" s="25" t="s">
        <v>27</v>
      </c>
      <c r="D17" s="26">
        <v>-5.7000000000000002</v>
      </c>
      <c r="E17" s="26">
        <v>-4</v>
      </c>
      <c r="F17" s="23">
        <v>-9.6999999999999993</v>
      </c>
      <c r="G17" s="27">
        <f t="shared" si="0"/>
        <v>-9.6999999999999993</v>
      </c>
      <c r="H17" s="23" t="str">
        <f t="shared" si="1"/>
        <v>Passed</v>
      </c>
    </row>
    <row r="18">
      <c r="A18" s="23" t="s">
        <v>44</v>
      </c>
      <c r="B18" s="29" t="s">
        <v>45</v>
      </c>
      <c r="C18" s="25" t="s">
        <v>27</v>
      </c>
      <c r="D18" s="26">
        <v>8.2200000000000006</v>
      </c>
      <c r="E18" s="26">
        <v>7</v>
      </c>
      <c r="F18" s="23">
        <v>15.199999999999999</v>
      </c>
      <c r="G18" s="27">
        <f t="shared" si="0"/>
        <v>15.220000000000001</v>
      </c>
      <c r="H18" s="23" t="str">
        <f t="shared" si="1"/>
        <v>Failed</v>
      </c>
    </row>
    <row r="19">
      <c r="A19" s="23" t="s">
        <v>46</v>
      </c>
      <c r="B19" s="29" t="s">
        <v>47</v>
      </c>
      <c r="C19" s="25" t="s">
        <v>27</v>
      </c>
      <c r="D19" s="26">
        <v>-1.8999999999999999</v>
      </c>
      <c r="E19" s="26">
        <v>5</v>
      </c>
      <c r="F19" s="23">
        <v>3.1000000000000001</v>
      </c>
      <c r="G19" s="27">
        <f t="shared" si="0"/>
        <v>3.1000000000000001</v>
      </c>
      <c r="H19" s="23" t="str">
        <f t="shared" si="1"/>
        <v>Passed</v>
      </c>
    </row>
    <row r="20">
      <c r="A20" s="23" t="s">
        <v>48</v>
      </c>
      <c r="B20" s="29" t="s">
        <v>49</v>
      </c>
      <c r="C20" s="25" t="s">
        <v>27</v>
      </c>
      <c r="D20" s="26">
        <v>0</v>
      </c>
      <c r="E20" s="26">
        <v>8</v>
      </c>
      <c r="F20" s="23">
        <v>8</v>
      </c>
      <c r="G20" s="27">
        <f t="shared" si="0"/>
        <v>8</v>
      </c>
      <c r="H20" s="23" t="str">
        <f t="shared" si="1"/>
        <v>Passed</v>
      </c>
    </row>
    <row r="21">
      <c r="A21" s="23" t="s">
        <v>50</v>
      </c>
      <c r="B21" s="29" t="s">
        <v>51</v>
      </c>
      <c r="C21" s="25" t="s">
        <v>27</v>
      </c>
      <c r="D21" s="26">
        <v>9</v>
      </c>
      <c r="E21" s="26">
        <v>0</v>
      </c>
      <c r="F21" s="23">
        <v>9</v>
      </c>
      <c r="G21" s="27">
        <f t="shared" si="0"/>
        <v>9</v>
      </c>
      <c r="H21" s="23" t="str">
        <f t="shared" si="1"/>
        <v>Passed</v>
      </c>
    </row>
    <row r="22">
      <c r="A22" s="23" t="s">
        <v>52</v>
      </c>
      <c r="B22" s="30" t="s">
        <v>53</v>
      </c>
      <c r="C22" s="25" t="s">
        <v>27</v>
      </c>
      <c r="D22" s="26">
        <v>3</v>
      </c>
      <c r="E22" s="26">
        <v>-2.5</v>
      </c>
      <c r="F22" s="23">
        <v>0.5</v>
      </c>
      <c r="G22" s="27">
        <f t="shared" si="0"/>
        <v>0.5</v>
      </c>
      <c r="H22" s="23" t="str">
        <f t="shared" si="1"/>
        <v>Passed</v>
      </c>
    </row>
    <row r="23">
      <c r="A23" s="23" t="s">
        <v>54</v>
      </c>
      <c r="B23" s="30" t="s">
        <v>55</v>
      </c>
      <c r="C23" s="25" t="s">
        <v>27</v>
      </c>
      <c r="D23" s="26">
        <v>-4</v>
      </c>
      <c r="E23" s="26">
        <v>-1.2</v>
      </c>
      <c r="F23" s="23">
        <v>-5.2000000000000002</v>
      </c>
      <c r="G23" s="27">
        <f t="shared" si="0"/>
        <v>-5.2000000000000002</v>
      </c>
      <c r="H23" s="23" t="str">
        <f t="shared" si="1"/>
        <v>Passed</v>
      </c>
    </row>
    <row r="24">
      <c r="A24" s="23" t="s">
        <v>56</v>
      </c>
      <c r="B24" s="30" t="s">
        <v>57</v>
      </c>
      <c r="C24" s="25" t="s">
        <v>27</v>
      </c>
      <c r="D24" s="26">
        <v>5</v>
      </c>
      <c r="E24" s="26">
        <v>3.6000000000000001</v>
      </c>
      <c r="F24" s="23">
        <v>8.5999999999999996</v>
      </c>
      <c r="G24" s="27">
        <f t="shared" si="0"/>
        <v>8.5999999999999996</v>
      </c>
      <c r="H24" s="23" t="str">
        <f t="shared" si="1"/>
        <v>Passed</v>
      </c>
    </row>
    <row r="25">
      <c r="A25" s="23" t="s">
        <v>58</v>
      </c>
      <c r="B25" s="30" t="s">
        <v>59</v>
      </c>
      <c r="C25" s="25" t="s">
        <v>27</v>
      </c>
      <c r="D25" s="26">
        <v>-7</v>
      </c>
      <c r="E25" s="26">
        <v>2.5</v>
      </c>
      <c r="F25" s="23">
        <v>-4.5</v>
      </c>
      <c r="G25" s="27">
        <f t="shared" si="0"/>
        <v>-4.5</v>
      </c>
      <c r="H25" s="23" t="str">
        <f t="shared" si="1"/>
        <v>Passed</v>
      </c>
    </row>
    <row r="26">
      <c r="A26" s="23" t="s">
        <v>60</v>
      </c>
      <c r="B26" s="30" t="s">
        <v>61</v>
      </c>
      <c r="C26" s="25" t="s">
        <v>27</v>
      </c>
      <c r="D26" s="26">
        <v>0</v>
      </c>
      <c r="E26" s="26">
        <v>4.2000000000000002</v>
      </c>
      <c r="F26" s="23">
        <v>4.2000000000000002</v>
      </c>
      <c r="G26" s="27">
        <f t="shared" si="0"/>
        <v>4.2000000000000002</v>
      </c>
      <c r="H26" s="23" t="str">
        <f t="shared" si="1"/>
        <v>Passed</v>
      </c>
    </row>
    <row r="27">
      <c r="A27" s="23" t="s">
        <v>62</v>
      </c>
      <c r="B27" s="30" t="s">
        <v>63</v>
      </c>
      <c r="C27" s="25" t="s">
        <v>27</v>
      </c>
      <c r="D27" s="26">
        <v>-6</v>
      </c>
      <c r="E27" s="26">
        <v>0</v>
      </c>
      <c r="F27" s="23">
        <v>-6</v>
      </c>
      <c r="G27" s="27">
        <f t="shared" si="0"/>
        <v>-6</v>
      </c>
      <c r="H27" s="23" t="str">
        <f t="shared" si="1"/>
        <v>Passed</v>
      </c>
    </row>
    <row r="28" ht="14.4" customHeight="1">
      <c r="A28" s="23" t="s">
        <v>64</v>
      </c>
      <c r="B28" s="31" t="s">
        <v>65</v>
      </c>
      <c r="C28" s="25" t="s">
        <v>27</v>
      </c>
      <c r="D28" s="26">
        <v>2.7000000000000002</v>
      </c>
      <c r="E28" s="26">
        <v>-3.5</v>
      </c>
      <c r="F28" s="23">
        <v>-0.80000000000000004</v>
      </c>
      <c r="G28" s="27">
        <f t="shared" si="0"/>
        <v>-0.79999999999999982</v>
      </c>
      <c r="H28" s="23" t="str">
        <f t="shared" si="1"/>
        <v>Passed</v>
      </c>
    </row>
    <row r="29" ht="14.4" customHeight="1">
      <c r="A29" s="23" t="s">
        <v>66</v>
      </c>
      <c r="B29" s="31" t="s">
        <v>67</v>
      </c>
      <c r="C29" s="25" t="s">
        <v>27</v>
      </c>
      <c r="D29" s="26">
        <v>-1.2</v>
      </c>
      <c r="E29" s="26">
        <v>-4.7999999999999998</v>
      </c>
      <c r="F29" s="23">
        <v>6</v>
      </c>
      <c r="G29" s="27">
        <f t="shared" si="0"/>
        <v>-6</v>
      </c>
      <c r="H29" s="23" t="str">
        <f t="shared" si="1"/>
        <v>Failed</v>
      </c>
    </row>
    <row r="30" ht="19.5" customHeight="1">
      <c r="A30" s="23" t="s">
        <v>68</v>
      </c>
      <c r="B30" s="31" t="s">
        <v>69</v>
      </c>
      <c r="C30" s="25" t="s">
        <v>27</v>
      </c>
      <c r="D30" s="26">
        <v>5.2999999999999998</v>
      </c>
      <c r="E30" s="26">
        <v>7.4000000000000004</v>
      </c>
      <c r="F30" s="23">
        <v>12.699999999999999</v>
      </c>
      <c r="G30" s="27">
        <f t="shared" si="0"/>
        <v>12.699999999999999</v>
      </c>
      <c r="H30" s="23" t="str">
        <f t="shared" si="1"/>
        <v>Passed</v>
      </c>
    </row>
    <row r="31">
      <c r="A31" s="23" t="s">
        <v>70</v>
      </c>
      <c r="B31" s="31" t="s">
        <v>71</v>
      </c>
      <c r="C31" s="25" t="s">
        <v>27</v>
      </c>
      <c r="D31" s="26">
        <v>-6.0999999999999996</v>
      </c>
      <c r="E31" s="26">
        <v>2.8999999999999999</v>
      </c>
      <c r="F31" s="23">
        <v>-3.2000000000000002</v>
      </c>
      <c r="G31" s="27">
        <f t="shared" si="0"/>
        <v>-3.1999999999999997</v>
      </c>
      <c r="H31" s="23" t="str">
        <f t="shared" si="1"/>
        <v>Passed</v>
      </c>
    </row>
    <row r="32">
      <c r="A32" s="23" t="s">
        <v>72</v>
      </c>
      <c r="B32" s="31" t="s">
        <v>73</v>
      </c>
      <c r="C32" s="25" t="s">
        <v>27</v>
      </c>
      <c r="D32" s="26">
        <v>0</v>
      </c>
      <c r="E32" s="26">
        <v>4.5999999999999996</v>
      </c>
      <c r="F32" s="23">
        <v>4.5999999999999996</v>
      </c>
      <c r="G32" s="27">
        <f t="shared" si="0"/>
        <v>4.5999999999999996</v>
      </c>
      <c r="H32" s="23" t="str">
        <f t="shared" si="1"/>
        <v>Passed</v>
      </c>
    </row>
    <row r="33">
      <c r="A33" s="23" t="s">
        <v>74</v>
      </c>
      <c r="B33" s="31" t="s">
        <v>75</v>
      </c>
      <c r="C33" s="25" t="s">
        <v>27</v>
      </c>
      <c r="D33" s="32">
        <v>-3.7000000000000002</v>
      </c>
      <c r="E33" s="26">
        <v>0</v>
      </c>
      <c r="F33" s="23">
        <v>-3.7000000000000002</v>
      </c>
      <c r="G33" s="27">
        <f t="shared" si="0"/>
        <v>-3.7000000000000002</v>
      </c>
      <c r="H33" s="23" t="str">
        <f t="shared" si="1"/>
        <v>Passed</v>
      </c>
    </row>
    <row r="34">
      <c r="A34" s="23"/>
      <c r="B34" s="23"/>
      <c r="C34" s="25"/>
      <c r="D34" s="33"/>
      <c r="E34" s="33"/>
      <c r="F34" s="23"/>
      <c r="G34" s="27"/>
      <c r="H34" s="23"/>
    </row>
    <row r="35">
      <c r="A35" s="23"/>
      <c r="B35" s="23"/>
      <c r="C35" s="25"/>
      <c r="D35" s="27"/>
      <c r="E35" s="33"/>
      <c r="F35" s="23"/>
      <c r="G35" s="27"/>
      <c r="H35" s="23"/>
    </row>
    <row r="36">
      <c r="A36" s="23"/>
      <c r="B36" s="23"/>
      <c r="C36" s="25"/>
      <c r="D36" s="33"/>
      <c r="E36" s="33"/>
      <c r="F36" s="23"/>
      <c r="G36" s="27"/>
      <c r="H36" s="23"/>
    </row>
    <row r="37">
      <c r="A37" s="23"/>
      <c r="B37" s="23"/>
      <c r="C37" s="23"/>
      <c r="D37" s="33"/>
      <c r="E37" s="33"/>
      <c r="F37" s="23"/>
      <c r="G37" s="27"/>
      <c r="H37" s="23"/>
    </row>
    <row r="38">
      <c r="A38" s="23"/>
      <c r="B38" s="23"/>
      <c r="C38" s="23"/>
      <c r="D38" s="33"/>
      <c r="E38" s="33"/>
      <c r="F38" s="23"/>
      <c r="G38" s="27"/>
      <c r="H38" s="23"/>
    </row>
    <row r="39">
      <c r="A39" s="23"/>
      <c r="B39" s="23"/>
      <c r="C39" s="23"/>
      <c r="D39" s="33"/>
      <c r="E39" s="33"/>
      <c r="F39" s="23"/>
      <c r="G39" s="27"/>
      <c r="H39" s="23"/>
    </row>
    <row r="40">
      <c r="A40" s="23"/>
      <c r="B40" s="23"/>
      <c r="C40" s="23"/>
      <c r="D40" s="33"/>
      <c r="E40" s="27"/>
      <c r="F40" s="23"/>
      <c r="G40" s="27"/>
      <c r="H40" s="23"/>
    </row>
    <row r="41">
      <c r="A41" s="23"/>
      <c r="B41" s="23"/>
      <c r="C41" s="23"/>
      <c r="D41" s="27"/>
      <c r="E41" s="33"/>
      <c r="F41" s="23"/>
      <c r="G41" s="27"/>
      <c r="H41" s="23"/>
    </row>
    <row r="42">
      <c r="A42" s="23"/>
      <c r="B42" s="23"/>
      <c r="C42" s="23"/>
      <c r="D42" s="33"/>
      <c r="E42" s="33"/>
      <c r="F42" s="23"/>
      <c r="G42" s="27"/>
      <c r="H42" s="23"/>
    </row>
    <row r="43">
      <c r="A43" s="23"/>
      <c r="B43" s="23"/>
      <c r="C43" s="23"/>
      <c r="D43" s="27"/>
      <c r="E43" s="27"/>
      <c r="F43" s="23"/>
      <c r="G43" s="27"/>
      <c r="H43" s="23"/>
    </row>
    <row r="44">
      <c r="A44" s="23"/>
      <c r="B44" s="23"/>
      <c r="C44" s="23"/>
      <c r="D44" s="27"/>
      <c r="E44" s="27"/>
      <c r="F44" s="23"/>
      <c r="G44" s="27"/>
      <c r="H44" s="23"/>
    </row>
    <row r="45">
      <c r="A45" s="23"/>
      <c r="B45" s="23"/>
      <c r="C45" s="23"/>
      <c r="D45" s="27"/>
      <c r="E45" s="27"/>
      <c r="F45" s="23"/>
      <c r="G45" s="27"/>
      <c r="H45" s="23"/>
    </row>
    <row r="46">
      <c r="A46" s="23"/>
      <c r="B46" s="23"/>
      <c r="C46" s="23"/>
      <c r="D46" s="27"/>
      <c r="E46" s="27"/>
      <c r="F46" s="23"/>
      <c r="G46" s="27"/>
      <c r="H46" s="23"/>
    </row>
    <row r="47">
      <c r="A47" s="23"/>
      <c r="B47" s="23"/>
      <c r="C47" s="23"/>
      <c r="D47" s="27"/>
      <c r="E47" s="27"/>
      <c r="F47" s="23"/>
      <c r="G47" s="27"/>
      <c r="H47" s="23"/>
    </row>
    <row r="48">
      <c r="A48" s="23"/>
      <c r="B48" s="23"/>
      <c r="C48" s="23"/>
      <c r="D48" s="27"/>
      <c r="E48" s="27"/>
      <c r="F48" s="23"/>
      <c r="G48" s="27"/>
      <c r="H48" s="23"/>
    </row>
    <row r="49">
      <c r="A49" s="23"/>
      <c r="B49" s="23"/>
      <c r="C49" s="23"/>
      <c r="D49" s="27"/>
      <c r="E49" s="27"/>
      <c r="F49" s="23"/>
      <c r="G49" s="27"/>
      <c r="H49" s="23"/>
    </row>
    <row r="50">
      <c r="A50" s="23"/>
      <c r="B50" s="23"/>
      <c r="C50" s="23"/>
      <c r="D50" s="27"/>
      <c r="E50" s="27"/>
      <c r="F50" s="23"/>
      <c r="G50" s="27"/>
      <c r="H50" s="23"/>
    </row>
    <row r="51">
      <c r="A51" s="23"/>
      <c r="B51" s="23"/>
      <c r="C51" s="23"/>
      <c r="D51" s="27"/>
      <c r="E51" s="27"/>
      <c r="F51" s="23"/>
      <c r="G51" s="27"/>
      <c r="H51" s="23"/>
    </row>
    <row r="52">
      <c r="A52" s="23"/>
      <c r="B52" s="23"/>
      <c r="C52" s="23"/>
      <c r="D52" s="27"/>
      <c r="E52" s="27"/>
      <c r="F52" s="23"/>
      <c r="G52" s="27"/>
      <c r="H52" s="23"/>
    </row>
    <row r="53">
      <c r="A53" s="23"/>
      <c r="B53" s="23"/>
      <c r="C53" s="23"/>
      <c r="D53" s="27"/>
      <c r="E53" s="27"/>
      <c r="F53" s="23"/>
      <c r="G53" s="27"/>
      <c r="H53" s="23"/>
    </row>
    <row r="54">
      <c r="A54" s="23"/>
      <c r="B54" s="23"/>
      <c r="C54" s="23"/>
      <c r="D54" s="27"/>
      <c r="E54" s="27"/>
      <c r="F54" s="23"/>
      <c r="G54" s="27"/>
      <c r="H54" s="23"/>
    </row>
    <row r="55">
      <c r="A55" s="23"/>
      <c r="B55" s="23"/>
      <c r="C55" s="23"/>
      <c r="D55" s="27"/>
      <c r="E55" s="27"/>
      <c r="F55" s="23"/>
      <c r="G55" s="27"/>
      <c r="H55" s="23"/>
    </row>
    <row r="56">
      <c r="A56" s="23"/>
      <c r="B56" s="23"/>
      <c r="C56" s="23"/>
      <c r="D56" s="27"/>
      <c r="E56" s="27"/>
      <c r="F56" s="23"/>
      <c r="G56" s="27"/>
      <c r="H56" s="23"/>
    </row>
    <row r="57">
      <c r="A57" s="23"/>
      <c r="B57" s="23"/>
      <c r="C57" s="23"/>
      <c r="D57" s="27"/>
      <c r="E57" s="27"/>
      <c r="F57" s="23"/>
      <c r="G57" s="27"/>
      <c r="H57" s="23"/>
    </row>
    <row r="58">
      <c r="A58" s="23"/>
      <c r="B58" s="23"/>
      <c r="C58" s="23"/>
      <c r="D58" s="27"/>
      <c r="E58" s="27"/>
      <c r="F58" s="23"/>
      <c r="G58" s="27"/>
      <c r="H58" s="23"/>
    </row>
    <row r="59">
      <c r="A59" s="23"/>
      <c r="B59" s="23"/>
      <c r="C59" s="23"/>
      <c r="D59" s="27"/>
      <c r="E59" s="27"/>
      <c r="F59" s="23"/>
      <c r="G59" s="27"/>
      <c r="H59" s="23"/>
    </row>
    <row r="60">
      <c r="A60" s="23"/>
      <c r="B60" s="23"/>
      <c r="C60" s="23"/>
      <c r="D60" s="27"/>
      <c r="E60" s="27"/>
      <c r="F60" s="23"/>
      <c r="G60" s="27"/>
      <c r="H60" s="23"/>
    </row>
    <row r="61">
      <c r="A61" s="23"/>
      <c r="B61" s="23"/>
      <c r="C61" s="23"/>
      <c r="D61" s="27"/>
      <c r="E61" s="27"/>
      <c r="F61" s="23"/>
      <c r="G61" s="27"/>
      <c r="H61" s="23"/>
    </row>
    <row r="62">
      <c r="A62" s="23"/>
      <c r="B62" s="23"/>
      <c r="C62" s="23"/>
      <c r="D62" s="27"/>
      <c r="E62" s="27"/>
      <c r="F62" s="23"/>
      <c r="G62" s="27"/>
      <c r="H62" s="23"/>
    </row>
    <row r="63" ht="14.4">
      <c r="A63" s="34"/>
      <c r="B63" s="34"/>
      <c r="C63" s="34"/>
      <c r="D63" s="35"/>
      <c r="E63" s="35"/>
      <c r="F63" s="34"/>
      <c r="G63" s="35"/>
      <c r="H63" s="34"/>
    </row>
    <row r="64">
      <c r="C64" s="36"/>
      <c r="D64" s="36"/>
      <c r="E64" s="36"/>
      <c r="F64" s="36"/>
    </row>
    <row r="65">
      <c r="C65" s="36"/>
      <c r="D65" s="36"/>
      <c r="E65" s="36"/>
      <c r="F65" s="36"/>
    </row>
    <row r="66">
      <c r="C66" s="37"/>
      <c r="D66" s="36"/>
      <c r="E66" s="36"/>
      <c r="F66" s="36"/>
    </row>
    <row r="67">
      <c r="C67" s="37"/>
      <c r="D67" s="37"/>
      <c r="E67" s="37"/>
      <c r="F67" s="36"/>
    </row>
    <row r="68">
      <c r="C68" s="36"/>
      <c r="D68" s="37"/>
      <c r="E68" s="37"/>
      <c r="F68" s="36"/>
    </row>
    <row r="69">
      <c r="C69" s="37"/>
      <c r="D69" s="37"/>
      <c r="E69" s="37"/>
      <c r="F69" s="36"/>
    </row>
    <row r="70">
      <c r="C70" s="37"/>
      <c r="D70" s="37"/>
      <c r="E70" s="37"/>
      <c r="F70" s="36"/>
    </row>
    <row r="71">
      <c r="C71" s="37"/>
      <c r="D71" s="37"/>
      <c r="E71" s="37"/>
      <c r="F71" s="36"/>
    </row>
    <row r="72">
      <c r="C72" s="37"/>
      <c r="D72" s="37"/>
      <c r="E72" s="37"/>
      <c r="F72" s="36"/>
    </row>
    <row r="73">
      <c r="C73" s="37"/>
      <c r="D73" s="36"/>
      <c r="E73" s="36"/>
      <c r="F73" s="36"/>
    </row>
    <row r="74">
      <c r="C74" s="36"/>
      <c r="D74" s="37"/>
      <c r="E74" s="37"/>
      <c r="F74" s="36"/>
    </row>
    <row r="75">
      <c r="C75" s="37"/>
      <c r="D75" s="37"/>
      <c r="E75" s="37"/>
      <c r="F75" s="36"/>
    </row>
    <row r="76">
      <c r="C76" s="36"/>
      <c r="D76" s="36"/>
      <c r="E76" s="36"/>
      <c r="F76" s="36"/>
    </row>
    <row r="77">
      <c r="C77" s="36"/>
      <c r="D77" s="36"/>
      <c r="E77" s="36"/>
      <c r="F77" s="36"/>
    </row>
    <row r="78">
      <c r="C78" s="36"/>
      <c r="D78" s="36"/>
      <c r="E78" s="36"/>
      <c r="F78" s="36"/>
    </row>
    <row r="79">
      <c r="C79" s="36"/>
      <c r="D79" s="36"/>
      <c r="E79" s="36"/>
      <c r="F79" s="36"/>
    </row>
    <row r="80">
      <c r="C80" s="36"/>
      <c r="D80" s="36"/>
      <c r="E80" s="36"/>
      <c r="F80" s="36"/>
    </row>
    <row r="81">
      <c r="C81" s="36"/>
      <c r="D81" s="36"/>
      <c r="E81" s="36"/>
      <c r="F81" s="36"/>
    </row>
  </sheetData>
  <mergeCells count="7">
    <mergeCell ref="A1:G1"/>
    <mergeCell ref="B8:B9"/>
    <mergeCell ref="F8:F9"/>
    <mergeCell ref="G8:G9"/>
    <mergeCell ref="H8:H9"/>
    <mergeCell ref="A8:A9"/>
    <mergeCell ref="C8:E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5F00E6-000B-4361-BA8E-00BD002E0010}" type="list" allowBlank="1" error="Put checked or unchecked" errorStyle="stop" errorTitle="Input error" imeMode="noControl" operator="between" showDropDown="0" showErrorMessage="1" showInputMessage="1">
          <x14:formula1>
            <xm:f>$M$8:$M$9</xm:f>
          </x14:formula1>
          <xm:sqref>C10:C36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55" workbookViewId="0">
      <selection activeCell="D3" activeCellId="0" sqref="D3"/>
    </sheetView>
  </sheetViews>
  <sheetFormatPr defaultRowHeight="13.800000000000001"/>
  <cols>
    <col customWidth="1" min="2" max="2" width="38.296875"/>
    <col customWidth="1" min="3" max="4" width="19.3984375"/>
    <col customWidth="1" min="5" max="5" width="27.09765625"/>
    <col customWidth="1" min="6" max="6" width="24"/>
    <col customWidth="1" min="7" max="7" width="24.296875"/>
    <col customWidth="1" min="8" max="8" width="21"/>
    <col customWidth="1" hidden="1" min="13" max="13" width="0"/>
  </cols>
  <sheetData>
    <row r="1" ht="21">
      <c r="A1" s="11" t="s">
        <v>0</v>
      </c>
      <c r="B1" s="11"/>
      <c r="C1" s="11"/>
      <c r="D1" s="11"/>
      <c r="E1" s="11"/>
      <c r="F1" s="11"/>
      <c r="G1" s="11"/>
    </row>
    <row r="2" ht="21">
      <c r="A2" s="11"/>
      <c r="B2" s="11" t="s">
        <v>11</v>
      </c>
      <c r="C2" s="11" t="s">
        <v>76</v>
      </c>
      <c r="D2" s="11"/>
      <c r="E2" s="11"/>
      <c r="F2" s="11"/>
      <c r="G2" s="11"/>
    </row>
    <row r="3" ht="21">
      <c r="A3" s="11"/>
      <c r="B3" s="11" t="s">
        <v>13</v>
      </c>
      <c r="C3" s="11">
        <v>3</v>
      </c>
      <c r="D3" s="11"/>
      <c r="E3" s="11"/>
      <c r="F3" s="11"/>
      <c r="G3" s="11"/>
    </row>
    <row r="4" ht="21">
      <c r="A4" s="11"/>
      <c r="B4" s="11" t="s">
        <v>14</v>
      </c>
      <c r="C4" s="11">
        <v>36</v>
      </c>
      <c r="F4" s="11"/>
      <c r="G4" s="11"/>
    </row>
    <row r="5" ht="21">
      <c r="A5" s="11"/>
      <c r="B5" s="11" t="s">
        <v>15</v>
      </c>
      <c r="C5" s="11">
        <v>0</v>
      </c>
      <c r="D5" s="11"/>
      <c r="E5" s="11"/>
      <c r="F5" s="11"/>
      <c r="G5" s="11"/>
    </row>
    <row r="6" ht="21">
      <c r="A6" s="11"/>
      <c r="B6" s="11" t="s">
        <v>16</v>
      </c>
      <c r="C6" s="11">
        <v>36</v>
      </c>
      <c r="D6" s="11"/>
      <c r="E6" s="11"/>
      <c r="F6" s="11"/>
      <c r="G6" s="11"/>
    </row>
    <row r="7" ht="14.4"/>
    <row r="8" s="12" customFormat="1" ht="17.399999999999999">
      <c r="A8" s="13" t="s">
        <v>17</v>
      </c>
      <c r="B8" s="38" t="s">
        <v>18</v>
      </c>
      <c r="C8" s="14" t="s">
        <v>19</v>
      </c>
      <c r="D8" s="15"/>
      <c r="E8" s="16"/>
      <c r="F8" s="13" t="s">
        <v>20</v>
      </c>
      <c r="G8" s="13" t="s">
        <v>21</v>
      </c>
      <c r="H8" s="17" t="s">
        <v>22</v>
      </c>
      <c r="M8" s="18" t="s">
        <v>23</v>
      </c>
    </row>
    <row r="9" s="12" customFormat="1" ht="18">
      <c r="A9" s="19"/>
      <c r="B9" s="20"/>
      <c r="C9" s="20" t="s">
        <v>24</v>
      </c>
      <c r="D9" s="21" t="s">
        <v>25</v>
      </c>
      <c r="E9" s="21" t="s">
        <v>26</v>
      </c>
      <c r="F9" s="19"/>
      <c r="G9" s="19"/>
      <c r="H9" s="22"/>
      <c r="M9" s="18" t="s">
        <v>27</v>
      </c>
    </row>
    <row r="10">
      <c r="A10" s="23" t="s">
        <v>77</v>
      </c>
      <c r="B10" s="39" t="s">
        <v>78</v>
      </c>
      <c r="C10" s="25" t="s">
        <v>27</v>
      </c>
      <c r="D10" s="27">
        <v>3</v>
      </c>
      <c r="E10" s="27">
        <v>-1</v>
      </c>
      <c r="F10" s="23">
        <v>4</v>
      </c>
      <c r="G10" s="27">
        <f t="shared" ref="G10:G45" si="2">D10-E10</f>
        <v>4</v>
      </c>
      <c r="H10" s="23" t="str">
        <f t="shared" ref="H10:H45" si="3">IF(F10=G10,"Passed","Failed")</f>
        <v>Passed</v>
      </c>
    </row>
    <row r="11">
      <c r="A11" s="23" t="s">
        <v>79</v>
      </c>
      <c r="B11" s="39" t="s">
        <v>80</v>
      </c>
      <c r="C11" s="25" t="s">
        <v>27</v>
      </c>
      <c r="D11" s="27">
        <v>0</v>
      </c>
      <c r="E11" s="27">
        <v>-1</v>
      </c>
      <c r="F11" s="27">
        <v>1</v>
      </c>
      <c r="G11" s="27">
        <f t="shared" si="2"/>
        <v>1</v>
      </c>
      <c r="H11" s="23" t="str">
        <f t="shared" si="3"/>
        <v>Passed</v>
      </c>
    </row>
    <row r="12">
      <c r="A12" s="23" t="s">
        <v>81</v>
      </c>
      <c r="B12" s="39" t="s">
        <v>82</v>
      </c>
      <c r="C12" s="25" t="s">
        <v>27</v>
      </c>
      <c r="D12" s="40">
        <v>-2</v>
      </c>
      <c r="E12" s="27">
        <v>-1</v>
      </c>
      <c r="F12" s="23">
        <v>-1</v>
      </c>
      <c r="G12" s="27">
        <f t="shared" si="2"/>
        <v>-1</v>
      </c>
      <c r="H12" s="23" t="str">
        <f t="shared" si="3"/>
        <v>Passed</v>
      </c>
    </row>
    <row r="13">
      <c r="A13" s="23" t="s">
        <v>83</v>
      </c>
      <c r="B13" s="39" t="s">
        <v>84</v>
      </c>
      <c r="C13" s="25" t="s">
        <v>27</v>
      </c>
      <c r="D13" s="27">
        <v>3</v>
      </c>
      <c r="E13" s="27">
        <v>2</v>
      </c>
      <c r="F13" s="23">
        <v>1</v>
      </c>
      <c r="G13" s="27">
        <f t="shared" si="2"/>
        <v>1</v>
      </c>
      <c r="H13" s="23" t="str">
        <f t="shared" si="3"/>
        <v>Passed</v>
      </c>
    </row>
    <row r="14">
      <c r="A14" s="23" t="s">
        <v>85</v>
      </c>
      <c r="B14" s="39" t="s">
        <v>86</v>
      </c>
      <c r="C14" s="25" t="s">
        <v>27</v>
      </c>
      <c r="D14" s="27">
        <v>0</v>
      </c>
      <c r="E14" s="27">
        <v>2</v>
      </c>
      <c r="F14" s="23">
        <v>-2</v>
      </c>
      <c r="G14" s="27">
        <f t="shared" si="2"/>
        <v>-2</v>
      </c>
      <c r="H14" s="23" t="str">
        <f t="shared" si="3"/>
        <v>Passed</v>
      </c>
    </row>
    <row r="15">
      <c r="A15" s="23" t="s">
        <v>87</v>
      </c>
      <c r="B15" s="39" t="s">
        <v>88</v>
      </c>
      <c r="C15" s="25" t="s">
        <v>27</v>
      </c>
      <c r="D15" s="40">
        <v>-2</v>
      </c>
      <c r="E15" s="27">
        <v>2</v>
      </c>
      <c r="F15" s="23">
        <v>-4</v>
      </c>
      <c r="G15" s="27">
        <f t="shared" si="2"/>
        <v>-4</v>
      </c>
      <c r="H15" s="23" t="str">
        <f t="shared" si="3"/>
        <v>Passed</v>
      </c>
    </row>
    <row r="16">
      <c r="A16" s="23" t="s">
        <v>89</v>
      </c>
      <c r="B16" s="39" t="s">
        <v>90</v>
      </c>
      <c r="C16" s="25" t="s">
        <v>27</v>
      </c>
      <c r="D16" s="27">
        <v>3</v>
      </c>
      <c r="E16" s="27">
        <v>0</v>
      </c>
      <c r="F16" s="23">
        <v>3</v>
      </c>
      <c r="G16" s="27">
        <f t="shared" si="2"/>
        <v>3</v>
      </c>
      <c r="H16" s="23" t="str">
        <f t="shared" si="3"/>
        <v>Passed</v>
      </c>
    </row>
    <row r="17">
      <c r="A17" s="23" t="s">
        <v>91</v>
      </c>
      <c r="B17" s="39" t="s">
        <v>92</v>
      </c>
      <c r="C17" s="25" t="s">
        <v>27</v>
      </c>
      <c r="D17" s="27">
        <v>0</v>
      </c>
      <c r="E17" s="27">
        <v>0</v>
      </c>
      <c r="F17" s="23">
        <v>0</v>
      </c>
      <c r="G17" s="27">
        <f t="shared" si="2"/>
        <v>0</v>
      </c>
      <c r="H17" s="23" t="str">
        <f t="shared" si="3"/>
        <v>Passed</v>
      </c>
    </row>
    <row r="18">
      <c r="A18" s="23" t="s">
        <v>93</v>
      </c>
      <c r="B18" s="39" t="s">
        <v>94</v>
      </c>
      <c r="C18" s="25" t="s">
        <v>27</v>
      </c>
      <c r="D18" s="40">
        <v>-2</v>
      </c>
      <c r="E18" s="27">
        <v>0</v>
      </c>
      <c r="F18" s="23">
        <v>-2</v>
      </c>
      <c r="G18" s="27">
        <f t="shared" si="2"/>
        <v>-2</v>
      </c>
      <c r="H18" s="23" t="str">
        <f t="shared" si="3"/>
        <v>Passed</v>
      </c>
    </row>
    <row r="19">
      <c r="A19" s="23" t="s">
        <v>95</v>
      </c>
      <c r="B19" s="41" t="s">
        <v>96</v>
      </c>
      <c r="C19" s="25" t="s">
        <v>27</v>
      </c>
      <c r="D19" s="23">
        <v>1.8999999999999999</v>
      </c>
      <c r="E19" s="23">
        <v>-1.5</v>
      </c>
      <c r="F19" s="23">
        <v>3.3999999999999999</v>
      </c>
      <c r="G19" s="27">
        <f t="shared" si="2"/>
        <v>3.3999999999999999</v>
      </c>
      <c r="H19" s="23" t="str">
        <f t="shared" si="3"/>
        <v>Passed</v>
      </c>
    </row>
    <row r="20">
      <c r="A20" s="23" t="s">
        <v>97</v>
      </c>
      <c r="B20" s="41" t="s">
        <v>98</v>
      </c>
      <c r="C20" s="25" t="s">
        <v>27</v>
      </c>
      <c r="D20" s="23">
        <v>0</v>
      </c>
      <c r="E20" s="23">
        <v>-1.5</v>
      </c>
      <c r="F20" s="23">
        <v>1.5</v>
      </c>
      <c r="G20" s="27">
        <f t="shared" si="2"/>
        <v>1.5</v>
      </c>
      <c r="H20" s="23" t="str">
        <f t="shared" si="3"/>
        <v>Passed</v>
      </c>
    </row>
    <row r="21">
      <c r="A21" s="23" t="s">
        <v>99</v>
      </c>
      <c r="B21" s="41" t="s">
        <v>100</v>
      </c>
      <c r="C21" s="25" t="s">
        <v>27</v>
      </c>
      <c r="D21" s="23">
        <v>-2.5</v>
      </c>
      <c r="E21" s="23">
        <v>-1.5</v>
      </c>
      <c r="F21" s="23">
        <v>-1</v>
      </c>
      <c r="G21" s="27">
        <f t="shared" si="2"/>
        <v>-1</v>
      </c>
      <c r="H21" s="23" t="str">
        <f t="shared" si="3"/>
        <v>Passed</v>
      </c>
    </row>
    <row r="22">
      <c r="A22" s="23" t="s">
        <v>101</v>
      </c>
      <c r="B22" s="41" t="s">
        <v>102</v>
      </c>
      <c r="C22" s="25" t="s">
        <v>27</v>
      </c>
      <c r="D22" s="23">
        <v>1.8999999999999999</v>
      </c>
      <c r="E22" s="23">
        <v>2.3999999999999999</v>
      </c>
      <c r="F22" s="23">
        <v>-0.5</v>
      </c>
      <c r="G22" s="27">
        <f t="shared" si="2"/>
        <v>-0.5</v>
      </c>
      <c r="H22" s="23" t="str">
        <f t="shared" si="3"/>
        <v>Passed</v>
      </c>
    </row>
    <row r="23">
      <c r="A23" s="23" t="s">
        <v>103</v>
      </c>
      <c r="B23" s="41" t="s">
        <v>104</v>
      </c>
      <c r="C23" s="25" t="s">
        <v>27</v>
      </c>
      <c r="D23" s="23">
        <v>0</v>
      </c>
      <c r="E23" s="23">
        <v>2.3999999999999999</v>
      </c>
      <c r="F23" s="23">
        <v>-2.3999999999999999</v>
      </c>
      <c r="G23" s="27">
        <f t="shared" si="2"/>
        <v>-2.3999999999999999</v>
      </c>
      <c r="H23" s="23" t="str">
        <f t="shared" si="3"/>
        <v>Passed</v>
      </c>
    </row>
    <row r="24">
      <c r="A24" s="23" t="s">
        <v>105</v>
      </c>
      <c r="B24" s="41" t="s">
        <v>106</v>
      </c>
      <c r="C24" s="25" t="s">
        <v>27</v>
      </c>
      <c r="D24" s="23">
        <v>-2.5</v>
      </c>
      <c r="E24" s="23">
        <v>2.3999999999999999</v>
      </c>
      <c r="F24" s="26">
        <v>-4.9000000000000004</v>
      </c>
      <c r="G24" s="27">
        <f t="shared" si="2"/>
        <v>-4.9000000000000004</v>
      </c>
      <c r="H24" s="23" t="str">
        <f t="shared" si="3"/>
        <v>Passed</v>
      </c>
    </row>
    <row r="25">
      <c r="A25" s="23" t="s">
        <v>107</v>
      </c>
      <c r="B25" s="41" t="s">
        <v>108</v>
      </c>
      <c r="C25" s="25" t="s">
        <v>27</v>
      </c>
      <c r="D25" s="23">
        <v>1.8999999999999999</v>
      </c>
      <c r="E25" s="27">
        <v>0</v>
      </c>
      <c r="F25" s="23">
        <v>1.8999999999999999</v>
      </c>
      <c r="G25" s="27">
        <f t="shared" si="2"/>
        <v>1.8999999999999999</v>
      </c>
      <c r="H25" s="23" t="str">
        <f t="shared" si="3"/>
        <v>Passed</v>
      </c>
    </row>
    <row r="26">
      <c r="A26" s="23" t="s">
        <v>109</v>
      </c>
      <c r="B26" s="41" t="s">
        <v>110</v>
      </c>
      <c r="C26" s="25" t="s">
        <v>27</v>
      </c>
      <c r="D26" s="23">
        <v>0</v>
      </c>
      <c r="E26" s="27">
        <v>0</v>
      </c>
      <c r="F26" s="23">
        <v>0</v>
      </c>
      <c r="G26" s="27">
        <f t="shared" si="2"/>
        <v>0</v>
      </c>
      <c r="H26" s="23" t="str">
        <f t="shared" si="3"/>
        <v>Passed</v>
      </c>
    </row>
    <row r="27">
      <c r="A27" s="23" t="s">
        <v>111</v>
      </c>
      <c r="B27" s="41" t="s">
        <v>112</v>
      </c>
      <c r="C27" s="25" t="s">
        <v>27</v>
      </c>
      <c r="D27" s="23">
        <v>-2.5</v>
      </c>
      <c r="E27" s="27">
        <v>0</v>
      </c>
      <c r="F27" s="23">
        <v>-2.5</v>
      </c>
      <c r="G27" s="27">
        <f t="shared" si="2"/>
        <v>-2.5</v>
      </c>
      <c r="H27" s="23" t="str">
        <f t="shared" si="3"/>
        <v>Passed</v>
      </c>
    </row>
    <row r="28">
      <c r="A28" s="23" t="s">
        <v>113</v>
      </c>
      <c r="B28" s="42" t="s">
        <v>114</v>
      </c>
      <c r="C28" s="25" t="s">
        <v>27</v>
      </c>
      <c r="D28" s="27">
        <v>9</v>
      </c>
      <c r="E28" s="43">
        <v>-6.7999999999999998</v>
      </c>
      <c r="F28" s="23">
        <v>15.800000000000001</v>
      </c>
      <c r="G28" s="27">
        <f t="shared" si="2"/>
        <v>15.800000000000001</v>
      </c>
      <c r="H28" s="23" t="str">
        <f t="shared" si="3"/>
        <v>Passed</v>
      </c>
    </row>
    <row r="29" ht="24" customHeight="1">
      <c r="A29" s="23" t="s">
        <v>115</v>
      </c>
      <c r="B29" s="42" t="s">
        <v>116</v>
      </c>
      <c r="C29" s="25" t="s">
        <v>27</v>
      </c>
      <c r="D29" s="27"/>
      <c r="E29" s="43">
        <v>-6.7999999999999998</v>
      </c>
      <c r="F29" s="23">
        <v>6.7999999999999998</v>
      </c>
      <c r="G29" s="27">
        <f t="shared" si="2"/>
        <v>6.7999999999999998</v>
      </c>
      <c r="H29" s="23" t="str">
        <f t="shared" si="3"/>
        <v>Passed</v>
      </c>
    </row>
    <row r="30" ht="19.5" customHeight="1">
      <c r="A30" s="23" t="s">
        <v>117</v>
      </c>
      <c r="B30" s="42" t="s">
        <v>118</v>
      </c>
      <c r="C30" s="25" t="s">
        <v>27</v>
      </c>
      <c r="D30" s="27">
        <v>-6</v>
      </c>
      <c r="E30" s="43">
        <v>-6.7999999999999998</v>
      </c>
      <c r="F30" s="23">
        <v>0.79999999999999982</v>
      </c>
      <c r="G30" s="27">
        <f t="shared" si="2"/>
        <v>0.79999999999999982</v>
      </c>
      <c r="H30" s="23" t="str">
        <f t="shared" si="3"/>
        <v>Passed</v>
      </c>
    </row>
    <row r="31">
      <c r="A31" s="23" t="s">
        <v>119</v>
      </c>
      <c r="B31" s="42" t="s">
        <v>120</v>
      </c>
      <c r="C31" s="25" t="s">
        <v>27</v>
      </c>
      <c r="D31" s="27">
        <v>9</v>
      </c>
      <c r="E31" s="43">
        <v>5.9000000000000004</v>
      </c>
      <c r="F31" s="23">
        <v>3.0999999999999996</v>
      </c>
      <c r="G31" s="27">
        <f t="shared" si="2"/>
        <v>3.0999999999999996</v>
      </c>
      <c r="H31" s="23" t="str">
        <f t="shared" si="3"/>
        <v>Passed</v>
      </c>
    </row>
    <row r="32">
      <c r="A32" s="23" t="s">
        <v>121</v>
      </c>
      <c r="B32" s="42" t="s">
        <v>122</v>
      </c>
      <c r="C32" s="25" t="s">
        <v>27</v>
      </c>
      <c r="D32" s="27"/>
      <c r="E32" s="43">
        <v>5.9000000000000004</v>
      </c>
      <c r="F32" s="23">
        <v>-5.9000000000000004</v>
      </c>
      <c r="G32" s="27">
        <f t="shared" si="2"/>
        <v>-5.9000000000000004</v>
      </c>
      <c r="H32" s="23" t="str">
        <f t="shared" si="3"/>
        <v>Passed</v>
      </c>
    </row>
    <row r="33">
      <c r="A33" s="23" t="s">
        <v>123</v>
      </c>
      <c r="B33" s="42" t="s">
        <v>124</v>
      </c>
      <c r="C33" s="25" t="s">
        <v>27</v>
      </c>
      <c r="D33" s="33">
        <v>-6</v>
      </c>
      <c r="E33" s="43">
        <v>5.9000000000000004</v>
      </c>
      <c r="F33" s="23">
        <v>-11.9</v>
      </c>
      <c r="G33" s="27">
        <f t="shared" si="2"/>
        <v>-11.9</v>
      </c>
      <c r="H33" s="23" t="str">
        <f t="shared" si="3"/>
        <v>Passed</v>
      </c>
    </row>
    <row r="34">
      <c r="A34" s="23" t="s">
        <v>125</v>
      </c>
      <c r="B34" s="42" t="s">
        <v>126</v>
      </c>
      <c r="C34" s="25" t="s">
        <v>27</v>
      </c>
      <c r="D34" s="33">
        <v>9</v>
      </c>
      <c r="E34" s="33">
        <v>0</v>
      </c>
      <c r="F34" s="23">
        <v>9</v>
      </c>
      <c r="G34" s="27">
        <f t="shared" si="2"/>
        <v>9</v>
      </c>
      <c r="H34" s="23" t="str">
        <f t="shared" si="3"/>
        <v>Passed</v>
      </c>
    </row>
    <row r="35">
      <c r="A35" s="23" t="s">
        <v>127</v>
      </c>
      <c r="B35" s="42" t="s">
        <v>128</v>
      </c>
      <c r="C35" s="25" t="s">
        <v>27</v>
      </c>
      <c r="D35" s="27"/>
      <c r="E35" s="33"/>
      <c r="F35" s="23">
        <v>0</v>
      </c>
      <c r="G35" s="27">
        <f t="shared" si="2"/>
        <v>0</v>
      </c>
      <c r="H35" s="23" t="str">
        <f t="shared" si="3"/>
        <v>Passed</v>
      </c>
    </row>
    <row r="36">
      <c r="A36" s="23" t="s">
        <v>129</v>
      </c>
      <c r="B36" s="42" t="s">
        <v>130</v>
      </c>
      <c r="C36" s="25" t="s">
        <v>27</v>
      </c>
      <c r="D36" s="33">
        <v>-6</v>
      </c>
      <c r="E36" s="33">
        <v>0</v>
      </c>
      <c r="F36" s="23">
        <v>-6</v>
      </c>
      <c r="G36" s="27">
        <f t="shared" si="2"/>
        <v>-6</v>
      </c>
      <c r="H36" s="23" t="str">
        <f t="shared" si="3"/>
        <v>Passed</v>
      </c>
    </row>
    <row r="37">
      <c r="A37" s="23" t="s">
        <v>131</v>
      </c>
      <c r="B37" s="44" t="s">
        <v>132</v>
      </c>
      <c r="C37" s="25" t="s">
        <v>27</v>
      </c>
      <c r="D37" s="45">
        <v>9.9000000000000004</v>
      </c>
      <c r="E37" s="33">
        <v>-2</v>
      </c>
      <c r="F37" s="23">
        <v>11.9</v>
      </c>
      <c r="G37" s="27">
        <f t="shared" si="2"/>
        <v>11.9</v>
      </c>
      <c r="H37" s="23" t="str">
        <f t="shared" si="3"/>
        <v>Passed</v>
      </c>
    </row>
    <row r="38">
      <c r="A38" s="23" t="s">
        <v>133</v>
      </c>
      <c r="B38" s="44" t="s">
        <v>134</v>
      </c>
      <c r="C38" s="25" t="s">
        <v>27</v>
      </c>
      <c r="D38" s="33"/>
      <c r="E38" s="33">
        <v>-2</v>
      </c>
      <c r="F38" s="23">
        <v>2</v>
      </c>
      <c r="G38" s="27">
        <f t="shared" si="2"/>
        <v>2</v>
      </c>
      <c r="H38" s="23" t="str">
        <f t="shared" si="3"/>
        <v>Passed</v>
      </c>
    </row>
    <row r="39">
      <c r="A39" s="23" t="s">
        <v>135</v>
      </c>
      <c r="B39" s="44" t="s">
        <v>136</v>
      </c>
      <c r="C39" s="25" t="s">
        <v>27</v>
      </c>
      <c r="D39" s="45">
        <v>-3.8999999999999999</v>
      </c>
      <c r="E39" s="33">
        <v>-2</v>
      </c>
      <c r="F39" s="23">
        <v>-1.8999999999999999</v>
      </c>
      <c r="G39" s="27">
        <f t="shared" si="2"/>
        <v>-1.8999999999999999</v>
      </c>
      <c r="H39" s="23" t="str">
        <f t="shared" si="3"/>
        <v>Passed</v>
      </c>
    </row>
    <row r="40">
      <c r="A40" s="23" t="s">
        <v>137</v>
      </c>
      <c r="B40" s="44" t="s">
        <v>138</v>
      </c>
      <c r="C40" s="25" t="s">
        <v>27</v>
      </c>
      <c r="D40" s="33">
        <v>5.9000000000000004</v>
      </c>
      <c r="E40" s="27">
        <v>3</v>
      </c>
      <c r="F40" s="23">
        <v>2.9000000000000004</v>
      </c>
      <c r="G40" s="27">
        <f t="shared" si="2"/>
        <v>2.9000000000000004</v>
      </c>
      <c r="H40" s="23" t="str">
        <f t="shared" si="3"/>
        <v>Passed</v>
      </c>
    </row>
    <row r="41">
      <c r="A41" s="23" t="s">
        <v>139</v>
      </c>
      <c r="B41" s="44" t="s">
        <v>140</v>
      </c>
      <c r="C41" s="25" t="s">
        <v>27</v>
      </c>
      <c r="D41" s="27"/>
      <c r="E41" s="33"/>
      <c r="F41" s="23">
        <v>0</v>
      </c>
      <c r="G41" s="27">
        <f t="shared" si="2"/>
        <v>0</v>
      </c>
      <c r="H41" s="23" t="str">
        <f t="shared" si="3"/>
        <v>Passed</v>
      </c>
    </row>
    <row r="42">
      <c r="A42" s="23" t="s">
        <v>141</v>
      </c>
      <c r="B42" s="44" t="s">
        <v>142</v>
      </c>
      <c r="C42" s="25" t="s">
        <v>27</v>
      </c>
      <c r="D42" s="45">
        <v>-4</v>
      </c>
      <c r="E42" s="33">
        <v>1</v>
      </c>
      <c r="F42" s="23">
        <v>-5</v>
      </c>
      <c r="G42" s="27">
        <f t="shared" si="2"/>
        <v>-5</v>
      </c>
      <c r="H42" s="23" t="str">
        <f t="shared" si="3"/>
        <v>Passed</v>
      </c>
    </row>
    <row r="43">
      <c r="A43" s="23" t="s">
        <v>143</v>
      </c>
      <c r="B43" s="44" t="s">
        <v>126</v>
      </c>
      <c r="C43" s="25" t="s">
        <v>27</v>
      </c>
      <c r="D43" s="27">
        <v>8.9000000000000004</v>
      </c>
      <c r="E43" s="27">
        <v>0</v>
      </c>
      <c r="F43" s="23">
        <v>8.9000000000000004</v>
      </c>
      <c r="G43" s="27">
        <f t="shared" si="2"/>
        <v>8.9000000000000004</v>
      </c>
      <c r="H43" s="23" t="str">
        <f t="shared" si="3"/>
        <v>Passed</v>
      </c>
    </row>
    <row r="44">
      <c r="A44" s="23" t="s">
        <v>144</v>
      </c>
      <c r="B44" s="44" t="s">
        <v>128</v>
      </c>
      <c r="C44" s="25" t="s">
        <v>27</v>
      </c>
      <c r="D44" s="27"/>
      <c r="E44" s="27">
        <v>0</v>
      </c>
      <c r="F44" s="23">
        <v>0</v>
      </c>
      <c r="G44" s="27">
        <f t="shared" si="2"/>
        <v>0</v>
      </c>
      <c r="H44" s="23" t="str">
        <f t="shared" si="3"/>
        <v>Passed</v>
      </c>
    </row>
    <row r="45">
      <c r="A45" s="23" t="s">
        <v>145</v>
      </c>
      <c r="B45" s="44" t="s">
        <v>130</v>
      </c>
      <c r="C45" s="25" t="s">
        <v>27</v>
      </c>
      <c r="D45" s="43">
        <v>-9.0999999999999996</v>
      </c>
      <c r="E45" s="27">
        <v>0</v>
      </c>
      <c r="F45" s="23">
        <v>-9.0999999999999996</v>
      </c>
      <c r="G45" s="27">
        <f t="shared" si="2"/>
        <v>-9.0999999999999996</v>
      </c>
      <c r="H45" s="23" t="str">
        <f t="shared" si="3"/>
        <v>Passed</v>
      </c>
    </row>
    <row r="46">
      <c r="A46" s="23"/>
      <c r="B46" s="23"/>
      <c r="C46" s="23"/>
      <c r="D46" s="27"/>
      <c r="E46" s="27"/>
      <c r="F46" s="23"/>
      <c r="G46" s="27"/>
      <c r="H46" s="23"/>
    </row>
    <row r="47">
      <c r="A47" s="23"/>
      <c r="B47" s="23"/>
      <c r="C47" s="23"/>
      <c r="D47" s="27"/>
      <c r="E47" s="27"/>
      <c r="F47" s="23"/>
      <c r="G47" s="27"/>
      <c r="H47" s="23"/>
    </row>
    <row r="48">
      <c r="A48" s="23"/>
      <c r="B48" s="23"/>
      <c r="C48" s="23"/>
      <c r="D48" s="27"/>
      <c r="E48" s="27"/>
      <c r="F48" s="23"/>
      <c r="G48" s="27"/>
      <c r="H48" s="23"/>
    </row>
    <row r="49">
      <c r="A49" s="23"/>
      <c r="B49" s="23"/>
      <c r="C49" s="23"/>
      <c r="D49" s="27"/>
      <c r="E49" s="27"/>
      <c r="F49" s="23"/>
      <c r="G49" s="27"/>
      <c r="H49" s="23"/>
    </row>
    <row r="50">
      <c r="A50" s="23"/>
      <c r="B50" s="23"/>
      <c r="C50" s="23"/>
      <c r="D50" s="27"/>
      <c r="E50" s="27"/>
      <c r="F50" s="23"/>
      <c r="G50" s="27"/>
      <c r="H50" s="23"/>
    </row>
    <row r="51">
      <c r="A51" s="23"/>
      <c r="B51" s="23"/>
      <c r="C51" s="23"/>
      <c r="D51" s="27"/>
      <c r="E51" s="27"/>
      <c r="F51" s="23"/>
      <c r="G51" s="27"/>
      <c r="H51" s="23"/>
    </row>
    <row r="52">
      <c r="A52" s="23"/>
      <c r="B52" s="23"/>
      <c r="C52" s="23"/>
      <c r="D52" s="27"/>
      <c r="E52" s="27"/>
      <c r="F52" s="23"/>
      <c r="G52" s="27"/>
      <c r="H52" s="23"/>
    </row>
    <row r="53">
      <c r="A53" s="23"/>
      <c r="B53" s="23"/>
      <c r="C53" s="23"/>
      <c r="D53" s="27"/>
      <c r="E53" s="27"/>
      <c r="F53" s="23"/>
      <c r="G53" s="27"/>
      <c r="H53" s="23"/>
    </row>
    <row r="54">
      <c r="A54" s="23"/>
      <c r="B54" s="23"/>
      <c r="C54" s="23"/>
      <c r="D54" s="27"/>
      <c r="E54" s="27"/>
      <c r="F54" s="23"/>
      <c r="G54" s="27"/>
      <c r="H54" s="23"/>
    </row>
    <row r="55">
      <c r="A55" s="23"/>
      <c r="B55" s="23"/>
      <c r="C55" s="23"/>
      <c r="D55" s="27"/>
      <c r="E55" s="27"/>
      <c r="F55" s="23"/>
      <c r="G55" s="27"/>
      <c r="H55" s="23"/>
    </row>
    <row r="56">
      <c r="A56" s="23"/>
      <c r="B56" s="23"/>
      <c r="C56" s="23"/>
      <c r="D56" s="27"/>
      <c r="E56" s="27"/>
      <c r="F56" s="23"/>
      <c r="G56" s="27"/>
      <c r="H56" s="23"/>
    </row>
    <row r="57">
      <c r="A57" s="23"/>
      <c r="B57" s="23"/>
      <c r="C57" s="23"/>
      <c r="D57" s="27"/>
      <c r="E57" s="27"/>
      <c r="F57" s="23"/>
      <c r="G57" s="27"/>
      <c r="H57" s="23"/>
    </row>
    <row r="58">
      <c r="A58" s="23"/>
      <c r="B58" s="23"/>
      <c r="C58" s="23"/>
      <c r="D58" s="27"/>
      <c r="E58" s="27"/>
      <c r="F58" s="23"/>
      <c r="G58" s="27"/>
      <c r="H58" s="23"/>
    </row>
    <row r="59">
      <c r="A59" s="23"/>
      <c r="B59" s="23"/>
      <c r="C59" s="23"/>
      <c r="D59" s="27"/>
      <c r="E59" s="27"/>
      <c r="F59" s="23"/>
      <c r="G59" s="27"/>
      <c r="H59" s="23"/>
    </row>
    <row r="60">
      <c r="A60" s="23"/>
      <c r="B60" s="23"/>
      <c r="C60" s="23"/>
      <c r="D60" s="27"/>
      <c r="E60" s="27"/>
      <c r="F60" s="23"/>
      <c r="G60" s="27"/>
      <c r="H60" s="23"/>
    </row>
    <row r="61">
      <c r="A61" s="23"/>
      <c r="B61" s="23"/>
      <c r="C61" s="23"/>
      <c r="D61" s="27"/>
      <c r="E61" s="27"/>
      <c r="F61" s="23"/>
      <c r="G61" s="27"/>
      <c r="H61" s="23"/>
    </row>
    <row r="62">
      <c r="A62" s="23"/>
      <c r="B62" s="23"/>
      <c r="C62" s="23"/>
      <c r="D62" s="27"/>
      <c r="E62" s="27"/>
      <c r="F62" s="23"/>
      <c r="G62" s="27"/>
      <c r="H62" s="23"/>
    </row>
    <row r="63" ht="14.4">
      <c r="A63" s="34"/>
      <c r="B63" s="34"/>
      <c r="C63" s="34"/>
      <c r="D63" s="35"/>
      <c r="E63" s="35"/>
      <c r="F63" s="34"/>
      <c r="G63" s="35"/>
      <c r="H63" s="34"/>
    </row>
    <row r="64">
      <c r="C64" s="36"/>
      <c r="D64" s="36"/>
      <c r="E64" s="36"/>
      <c r="F64" s="36"/>
    </row>
    <row r="65">
      <c r="C65" s="36"/>
      <c r="D65" s="36"/>
      <c r="E65" s="36"/>
      <c r="F65" s="36"/>
    </row>
    <row r="66">
      <c r="C66" s="37"/>
      <c r="D66" s="36"/>
      <c r="E66" s="36"/>
      <c r="F66" s="36"/>
    </row>
    <row r="67">
      <c r="C67" s="37"/>
      <c r="D67" s="37"/>
      <c r="E67" s="37"/>
      <c r="F67" s="36"/>
    </row>
    <row r="68">
      <c r="C68" s="36"/>
      <c r="D68" s="37"/>
      <c r="E68" s="37"/>
      <c r="F68" s="36"/>
    </row>
    <row r="69">
      <c r="C69" s="37"/>
      <c r="D69" s="37"/>
      <c r="E69" s="37"/>
      <c r="F69" s="36"/>
    </row>
    <row r="70">
      <c r="C70" s="37"/>
      <c r="D70" s="37"/>
      <c r="E70" s="37"/>
      <c r="F70" s="36"/>
    </row>
    <row r="71">
      <c r="C71" s="37"/>
      <c r="D71" s="37"/>
      <c r="E71" s="37"/>
      <c r="F71" s="36"/>
    </row>
    <row r="72">
      <c r="C72" s="37"/>
      <c r="D72" s="37"/>
      <c r="E72" s="37"/>
      <c r="F72" s="36"/>
    </row>
    <row r="73">
      <c r="C73" s="37"/>
      <c r="D73" s="36"/>
      <c r="E73" s="36"/>
      <c r="F73" s="36"/>
    </row>
    <row r="74">
      <c r="C74" s="36"/>
      <c r="D74" s="37"/>
      <c r="E74" s="37"/>
      <c r="F74" s="36"/>
    </row>
    <row r="75">
      <c r="C75" s="37"/>
      <c r="D75" s="37"/>
      <c r="E75" s="37"/>
      <c r="F75" s="36"/>
    </row>
    <row r="76">
      <c r="C76" s="36"/>
      <c r="D76" s="36"/>
      <c r="E76" s="36"/>
      <c r="F76" s="36"/>
    </row>
    <row r="77">
      <c r="C77" s="36"/>
      <c r="D77" s="36"/>
      <c r="E77" s="36"/>
      <c r="F77" s="36"/>
    </row>
    <row r="78">
      <c r="C78" s="36"/>
      <c r="D78" s="36"/>
      <c r="E78" s="36"/>
      <c r="F78" s="36"/>
    </row>
    <row r="79">
      <c r="C79" s="36"/>
      <c r="D79" s="36"/>
      <c r="E79" s="36"/>
      <c r="F79" s="36"/>
    </row>
    <row r="80">
      <c r="C80" s="36"/>
      <c r="D80" s="36"/>
      <c r="E80" s="36"/>
      <c r="F80" s="36"/>
    </row>
    <row r="81">
      <c r="C81" s="36"/>
      <c r="D81" s="36"/>
      <c r="E81" s="36"/>
      <c r="F81" s="36"/>
    </row>
  </sheetData>
  <mergeCells count="7">
    <mergeCell ref="H8:H9"/>
    <mergeCell ref="A1:G1"/>
    <mergeCell ref="A8:A9"/>
    <mergeCell ref="B8:B9"/>
    <mergeCell ref="F8:F9"/>
    <mergeCell ref="G8:G9"/>
    <mergeCell ref="C8:E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97009E-008F-4760-B330-0004009500CF}" type="list" allowBlank="1" error="Put checked or unchecked" errorStyle="stop" errorTitle="Input error" imeMode="noControl" operator="between" showDropDown="0" showErrorMessage="1" showInputMessage="1">
          <x14:formula1>
            <xm:f>$M$8:$M$9</xm:f>
          </x14:formula1>
          <xm:sqref>C10:C45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0" workbookViewId="0">
      <selection activeCell="C7" activeCellId="0" sqref="C7"/>
    </sheetView>
  </sheetViews>
  <sheetFormatPr defaultRowHeight="13.800000000000001"/>
  <cols>
    <col customWidth="1" min="2" max="2" width="51.59765625"/>
    <col customWidth="1" min="3" max="4" width="19.3984375"/>
    <col customWidth="1" min="5" max="5" width="27.09765625"/>
    <col customWidth="1" min="6" max="6" width="24"/>
    <col customWidth="1" min="7" max="7" width="24.296875"/>
    <col customWidth="1" min="8" max="8" width="21"/>
    <col customWidth="1" hidden="1" min="13" max="13" width="0"/>
  </cols>
  <sheetData>
    <row r="1" ht="21">
      <c r="A1" s="11" t="s">
        <v>0</v>
      </c>
      <c r="B1" s="11"/>
      <c r="C1" s="11"/>
      <c r="D1" s="11"/>
      <c r="E1" s="11"/>
      <c r="F1" s="11"/>
      <c r="G1" s="11"/>
    </row>
    <row r="2" ht="21">
      <c r="A2" s="11"/>
      <c r="B2" s="11" t="s">
        <v>11</v>
      </c>
      <c r="C2" s="11" t="s">
        <v>146</v>
      </c>
      <c r="D2" s="11"/>
      <c r="E2" s="11"/>
      <c r="F2" s="11"/>
      <c r="G2" s="11"/>
    </row>
    <row r="3" ht="21">
      <c r="A3" s="11"/>
      <c r="B3" s="11" t="s">
        <v>13</v>
      </c>
      <c r="C3" s="11">
        <v>3</v>
      </c>
      <c r="D3" s="11"/>
      <c r="E3" s="11"/>
      <c r="F3" s="11"/>
      <c r="G3" s="11"/>
    </row>
    <row r="4" ht="21">
      <c r="A4" s="11"/>
      <c r="B4" s="11" t="s">
        <v>14</v>
      </c>
      <c r="C4" s="11">
        <v>12</v>
      </c>
      <c r="F4" s="11"/>
      <c r="G4" s="11"/>
    </row>
    <row r="5" ht="21">
      <c r="A5" s="11"/>
      <c r="B5" s="11" t="s">
        <v>15</v>
      </c>
      <c r="C5" s="11">
        <v>1</v>
      </c>
      <c r="D5" s="11"/>
      <c r="E5" s="11"/>
      <c r="F5" s="11"/>
      <c r="G5" s="11"/>
    </row>
    <row r="6" ht="21">
      <c r="A6" s="11"/>
      <c r="B6" s="11" t="s">
        <v>16</v>
      </c>
      <c r="C6" s="11">
        <v>11</v>
      </c>
      <c r="D6" s="11"/>
      <c r="E6" s="11"/>
      <c r="F6" s="11"/>
      <c r="G6" s="11"/>
    </row>
    <row r="7" ht="14.4"/>
    <row r="8" s="12" customFormat="1" ht="17.399999999999999">
      <c r="A8" s="13" t="s">
        <v>17</v>
      </c>
      <c r="B8" s="38" t="s">
        <v>18</v>
      </c>
      <c r="C8" s="14" t="s">
        <v>19</v>
      </c>
      <c r="D8" s="15"/>
      <c r="E8" s="16"/>
      <c r="F8" s="13" t="s">
        <v>20</v>
      </c>
      <c r="G8" s="13" t="s">
        <v>21</v>
      </c>
      <c r="H8" s="17" t="s">
        <v>22</v>
      </c>
      <c r="M8" s="18" t="s">
        <v>23</v>
      </c>
    </row>
    <row r="9" s="12" customFormat="1" ht="18">
      <c r="A9" s="19"/>
      <c r="B9" s="20"/>
      <c r="C9" s="20" t="s">
        <v>24</v>
      </c>
      <c r="D9" s="21" t="s">
        <v>25</v>
      </c>
      <c r="E9" s="21" t="s">
        <v>26</v>
      </c>
      <c r="F9" s="19"/>
      <c r="G9" s="19"/>
      <c r="H9" s="22"/>
      <c r="M9" s="18" t="s">
        <v>27</v>
      </c>
    </row>
    <row r="10">
      <c r="A10" s="23" t="s">
        <v>147</v>
      </c>
      <c r="B10" s="23" t="s">
        <v>148</v>
      </c>
      <c r="C10" s="25" t="s">
        <v>27</v>
      </c>
      <c r="D10" s="27">
        <v>9999999999</v>
      </c>
      <c r="E10" s="27">
        <v>1</v>
      </c>
      <c r="F10" s="23">
        <v>9999999999</v>
      </c>
      <c r="G10" s="27">
        <f t="shared" ref="G10:G21" si="4">D10*E10</f>
        <v>9999999999</v>
      </c>
      <c r="H10" s="23" t="str">
        <f t="shared" ref="H10:H21" si="5">IF(F10=G10,"Passed", "Failed")</f>
        <v>Passed</v>
      </c>
    </row>
    <row r="11">
      <c r="A11" s="23" t="s">
        <v>149</v>
      </c>
      <c r="B11" s="23" t="s">
        <v>150</v>
      </c>
      <c r="C11" s="25" t="s">
        <v>27</v>
      </c>
      <c r="D11" s="27">
        <v>0</v>
      </c>
      <c r="E11" s="27">
        <v>1</v>
      </c>
      <c r="F11" s="23">
        <v>0</v>
      </c>
      <c r="G11" s="27">
        <f t="shared" si="4"/>
        <v>0</v>
      </c>
      <c r="H11" s="23" t="str">
        <f t="shared" si="5"/>
        <v>Passed</v>
      </c>
    </row>
    <row r="12">
      <c r="A12" s="23" t="s">
        <v>151</v>
      </c>
      <c r="B12" s="23" t="s">
        <v>152</v>
      </c>
      <c r="C12" s="25" t="s">
        <v>27</v>
      </c>
      <c r="D12" s="27">
        <v>0.10000000000000001</v>
      </c>
      <c r="E12" s="27">
        <v>0.90000000000000002</v>
      </c>
      <c r="F12" s="23">
        <v>0.089999999999999997</v>
      </c>
      <c r="G12" s="27">
        <f t="shared" si="4"/>
        <v>0.090000000000000011</v>
      </c>
      <c r="H12" s="23" t="str">
        <f t="shared" si="5"/>
        <v>Passed</v>
      </c>
    </row>
    <row r="13">
      <c r="A13" s="23" t="s">
        <v>153</v>
      </c>
      <c r="B13" s="23" t="s">
        <v>154</v>
      </c>
      <c r="C13" s="25" t="s">
        <v>27</v>
      </c>
      <c r="D13" s="27">
        <v>0.10000000000000001</v>
      </c>
      <c r="E13" s="27">
        <v>9999999999</v>
      </c>
      <c r="F13" s="46">
        <v>999999999.89999998</v>
      </c>
      <c r="G13" s="27">
        <f t="shared" si="4"/>
        <v>999999999.9000001</v>
      </c>
      <c r="H13" s="23" t="str">
        <f t="shared" si="5"/>
        <v>Passed</v>
      </c>
    </row>
    <row r="14">
      <c r="A14" s="23" t="s">
        <v>155</v>
      </c>
      <c r="B14" s="23" t="s">
        <v>156</v>
      </c>
      <c r="C14" s="25" t="s">
        <v>27</v>
      </c>
      <c r="D14" s="27">
        <v>-92</v>
      </c>
      <c r="E14" s="27">
        <v>-69</v>
      </c>
      <c r="F14" s="23">
        <v>6348</v>
      </c>
      <c r="G14" s="27">
        <f t="shared" si="4"/>
        <v>6348</v>
      </c>
      <c r="H14" s="23" t="str">
        <f t="shared" si="5"/>
        <v>Passed</v>
      </c>
    </row>
    <row r="15">
      <c r="A15" s="23" t="s">
        <v>157</v>
      </c>
      <c r="B15" s="23" t="s">
        <v>158</v>
      </c>
      <c r="C15" s="25" t="s">
        <v>27</v>
      </c>
      <c r="D15" s="27">
        <v>-0.90000000000000002</v>
      </c>
      <c r="E15" s="27">
        <v>-6.2999999999999998</v>
      </c>
      <c r="F15" s="23">
        <v>5.6699999999999999</v>
      </c>
      <c r="G15" s="27">
        <f t="shared" si="4"/>
        <v>5.6699999999999999</v>
      </c>
      <c r="H15" s="23" t="str">
        <f t="shared" si="5"/>
        <v>Passed</v>
      </c>
    </row>
    <row r="16">
      <c r="A16" s="23" t="s">
        <v>159</v>
      </c>
      <c r="B16" s="23" t="s">
        <v>158</v>
      </c>
      <c r="C16" s="25" t="s">
        <v>27</v>
      </c>
      <c r="D16" s="27">
        <v>-0.69999999999999996</v>
      </c>
      <c r="E16" s="27">
        <v>-6.9989999999999997</v>
      </c>
      <c r="F16" s="23">
        <v>4</v>
      </c>
      <c r="G16" s="27">
        <f>INT(D16*E16)</f>
        <v>4</v>
      </c>
      <c r="H16" s="23" t="str">
        <f t="shared" si="5"/>
        <v>Passed</v>
      </c>
    </row>
    <row r="17">
      <c r="A17" s="23" t="s">
        <v>160</v>
      </c>
      <c r="B17" s="23" t="s">
        <v>161</v>
      </c>
      <c r="C17" s="25" t="s">
        <v>27</v>
      </c>
      <c r="D17" s="27">
        <v>9999999999</v>
      </c>
      <c r="E17" s="27">
        <v>-0.10000000000000001</v>
      </c>
      <c r="F17" s="46">
        <v>-999999999.89999998</v>
      </c>
      <c r="G17" s="27">
        <f t="shared" si="4"/>
        <v>-999999999.9000001</v>
      </c>
      <c r="H17" s="23" t="str">
        <f t="shared" si="5"/>
        <v>Passed</v>
      </c>
    </row>
    <row r="18">
      <c r="A18" s="23" t="s">
        <v>162</v>
      </c>
      <c r="B18" s="23" t="s">
        <v>163</v>
      </c>
      <c r="C18" s="25" t="s">
        <v>27</v>
      </c>
      <c r="D18" s="27">
        <v>9999999999</v>
      </c>
      <c r="E18" s="27">
        <v>0.0030000000000000001</v>
      </c>
      <c r="F18" s="46">
        <v>29999999.997000001</v>
      </c>
      <c r="G18" s="27">
        <f t="shared" si="4"/>
        <v>29999999.997000001</v>
      </c>
      <c r="H18" s="23" t="str">
        <f t="shared" si="5"/>
        <v>Passed</v>
      </c>
    </row>
    <row r="19">
      <c r="A19" s="23" t="s">
        <v>164</v>
      </c>
      <c r="B19" s="23" t="s">
        <v>165</v>
      </c>
      <c r="C19" s="25" t="s">
        <v>27</v>
      </c>
      <c r="D19" s="27">
        <v>0.98499999999999999</v>
      </c>
      <c r="E19" s="27">
        <v>0.029999999999999999</v>
      </c>
      <c r="F19" s="23">
        <v>0.02955</v>
      </c>
      <c r="G19" s="27">
        <f t="shared" si="4"/>
        <v>0.02955</v>
      </c>
      <c r="H19" s="23" t="str">
        <f t="shared" si="5"/>
        <v>Passed</v>
      </c>
    </row>
    <row r="20">
      <c r="A20" s="23" t="s">
        <v>166</v>
      </c>
      <c r="B20" s="23" t="s">
        <v>167</v>
      </c>
      <c r="C20" s="25" t="s">
        <v>27</v>
      </c>
      <c r="D20" s="27">
        <v>2e-08</v>
      </c>
      <c r="E20" s="27">
        <v>2.9999999999999997e-08</v>
      </c>
      <c r="F20" s="23">
        <v>6</v>
      </c>
      <c r="G20" s="27">
        <f>INT(D20*E20)</f>
        <v>0</v>
      </c>
      <c r="H20" s="23" t="str">
        <f t="shared" si="5"/>
        <v>Failed</v>
      </c>
    </row>
    <row r="21">
      <c r="A21" s="23" t="s">
        <v>168</v>
      </c>
      <c r="B21" s="23" t="s">
        <v>169</v>
      </c>
      <c r="C21" s="25" t="s">
        <v>27</v>
      </c>
      <c r="D21" s="27">
        <v>9999999999</v>
      </c>
      <c r="E21" s="27">
        <v>9999999999</v>
      </c>
      <c r="F21" s="23">
        <v>9.9999999980000002e+19</v>
      </c>
      <c r="G21" s="27">
        <f t="shared" si="4"/>
        <v>9.9999999980000002e+19</v>
      </c>
      <c r="H21" s="23" t="str">
        <f t="shared" si="5"/>
        <v>Passed</v>
      </c>
    </row>
    <row r="22">
      <c r="A22" s="23" t="s">
        <v>170</v>
      </c>
      <c r="B22" s="23"/>
      <c r="C22" s="23"/>
      <c r="D22" s="27"/>
      <c r="E22" s="27"/>
      <c r="F22" s="23"/>
      <c r="G22" s="27"/>
      <c r="H22" s="23"/>
    </row>
    <row r="23">
      <c r="A23" s="23" t="s">
        <v>171</v>
      </c>
      <c r="B23" s="23"/>
      <c r="C23" s="47"/>
      <c r="D23" s="27"/>
      <c r="E23" s="27"/>
      <c r="F23" s="23"/>
      <c r="G23" s="27"/>
      <c r="H23" s="23"/>
    </row>
    <row r="24">
      <c r="A24" s="23" t="s">
        <v>172</v>
      </c>
      <c r="B24" s="23"/>
      <c r="C24" s="47"/>
      <c r="D24" s="27"/>
      <c r="E24" s="27"/>
      <c r="F24" s="23"/>
      <c r="G24" s="27"/>
      <c r="H24" s="23"/>
    </row>
    <row r="25">
      <c r="A25" s="23" t="s">
        <v>173</v>
      </c>
      <c r="B25" s="23"/>
      <c r="C25" s="47"/>
      <c r="D25" s="27"/>
      <c r="E25" s="27"/>
      <c r="F25" s="23"/>
      <c r="G25" s="27"/>
      <c r="H25" s="23"/>
    </row>
    <row r="26">
      <c r="A26" s="23" t="s">
        <v>174</v>
      </c>
      <c r="B26" s="23"/>
      <c r="C26" s="47"/>
      <c r="D26" s="27"/>
      <c r="E26" s="27"/>
      <c r="F26" s="23"/>
      <c r="G26" s="27"/>
      <c r="H26" s="23"/>
    </row>
    <row r="27">
      <c r="A27" s="23" t="s">
        <v>175</v>
      </c>
      <c r="B27" s="23"/>
      <c r="C27" s="47"/>
      <c r="D27" s="27"/>
      <c r="E27" s="27"/>
      <c r="F27" s="23"/>
      <c r="G27" s="27"/>
      <c r="H27" s="23"/>
    </row>
    <row r="28">
      <c r="A28" s="23" t="s">
        <v>176</v>
      </c>
      <c r="B28" s="23"/>
      <c r="C28" s="47"/>
      <c r="D28" s="27"/>
      <c r="E28" s="27"/>
      <c r="F28" s="23"/>
      <c r="G28" s="27"/>
      <c r="H28" s="23"/>
    </row>
    <row r="29" ht="24" customHeight="1">
      <c r="A29" s="23" t="s">
        <v>177</v>
      </c>
      <c r="B29" s="23"/>
      <c r="C29" s="23"/>
      <c r="D29" s="27"/>
      <c r="E29" s="27"/>
      <c r="F29" s="23"/>
      <c r="G29" s="27"/>
      <c r="H29" s="23"/>
    </row>
    <row r="30" ht="19.5" customHeight="1">
      <c r="A30" s="23" t="s">
        <v>178</v>
      </c>
      <c r="B30" s="23"/>
      <c r="C30" s="23"/>
      <c r="D30" s="27"/>
      <c r="E30" s="27"/>
      <c r="F30" s="23"/>
      <c r="G30" s="27"/>
      <c r="H30" s="23"/>
    </row>
    <row r="31">
      <c r="A31" s="23" t="s">
        <v>179</v>
      </c>
      <c r="B31" s="23"/>
      <c r="C31" s="23"/>
      <c r="D31" s="27"/>
      <c r="E31" s="27"/>
      <c r="F31" s="23"/>
      <c r="G31" s="27"/>
      <c r="H31" s="23"/>
    </row>
    <row r="32">
      <c r="A32" s="23" t="s">
        <v>180</v>
      </c>
      <c r="B32" s="23"/>
      <c r="C32" s="23"/>
      <c r="D32" s="27"/>
      <c r="E32" s="27"/>
      <c r="F32" s="23"/>
      <c r="G32" s="27"/>
      <c r="H32" s="23"/>
    </row>
    <row r="33">
      <c r="A33" s="23" t="s">
        <v>181</v>
      </c>
      <c r="B33" s="23"/>
      <c r="C33" s="23"/>
      <c r="D33" s="33"/>
      <c r="E33" s="27"/>
      <c r="F33" s="23"/>
      <c r="G33" s="27"/>
      <c r="H33" s="23"/>
    </row>
    <row r="34">
      <c r="A34" s="23"/>
      <c r="B34" s="23"/>
      <c r="C34" s="23"/>
      <c r="D34" s="33"/>
      <c r="E34" s="33"/>
      <c r="F34" s="23"/>
      <c r="G34" s="27"/>
      <c r="H34" s="23"/>
    </row>
    <row r="35">
      <c r="A35" s="23"/>
      <c r="B35" s="23"/>
      <c r="C35" s="23"/>
      <c r="D35" s="27"/>
      <c r="E35" s="33"/>
      <c r="F35" s="23"/>
      <c r="G35" s="27"/>
      <c r="H35" s="23"/>
    </row>
    <row r="36">
      <c r="A36" s="23"/>
      <c r="B36" s="23"/>
      <c r="C36" s="23"/>
      <c r="D36" s="33"/>
      <c r="E36" s="33"/>
      <c r="F36" s="23"/>
      <c r="G36" s="27"/>
      <c r="H36" s="23"/>
    </row>
    <row r="37">
      <c r="A37" s="23"/>
      <c r="B37" s="23"/>
      <c r="C37" s="23"/>
      <c r="D37" s="33"/>
      <c r="E37" s="33"/>
      <c r="F37" s="23"/>
      <c r="G37" s="27"/>
      <c r="H37" s="23"/>
    </row>
    <row r="38">
      <c r="A38" s="23"/>
      <c r="B38" s="23"/>
      <c r="C38" s="23"/>
      <c r="D38" s="33"/>
      <c r="E38" s="33"/>
      <c r="F38" s="23"/>
      <c r="G38" s="27"/>
      <c r="H38" s="23"/>
    </row>
    <row r="39">
      <c r="A39" s="23"/>
      <c r="B39" s="23"/>
      <c r="C39" s="23"/>
      <c r="D39" s="33"/>
      <c r="E39" s="33"/>
      <c r="F39" s="23"/>
      <c r="G39" s="27"/>
      <c r="H39" s="23"/>
    </row>
    <row r="40">
      <c r="A40" s="23"/>
      <c r="B40" s="23"/>
      <c r="C40" s="23"/>
      <c r="D40" s="33"/>
      <c r="E40" s="27"/>
      <c r="F40" s="23"/>
      <c r="G40" s="27"/>
      <c r="H40" s="23"/>
    </row>
    <row r="41">
      <c r="A41" s="23"/>
      <c r="B41" s="23"/>
      <c r="C41" s="23"/>
      <c r="D41" s="27"/>
      <c r="E41" s="33"/>
      <c r="F41" s="23"/>
      <c r="G41" s="27"/>
      <c r="H41" s="23"/>
    </row>
    <row r="42">
      <c r="A42" s="23"/>
      <c r="B42" s="23"/>
      <c r="C42" s="23"/>
      <c r="D42" s="33"/>
      <c r="E42" s="33"/>
      <c r="F42" s="23"/>
      <c r="G42" s="27"/>
      <c r="H42" s="23"/>
    </row>
    <row r="43">
      <c r="A43" s="23"/>
      <c r="B43" s="23"/>
      <c r="C43" s="23"/>
      <c r="D43" s="27"/>
      <c r="E43" s="27"/>
      <c r="F43" s="23"/>
      <c r="G43" s="27"/>
      <c r="H43" s="23"/>
    </row>
    <row r="44">
      <c r="A44" s="23"/>
      <c r="B44" s="23"/>
      <c r="C44" s="23"/>
      <c r="D44" s="27"/>
      <c r="E44" s="27"/>
      <c r="F44" s="23"/>
      <c r="G44" s="27"/>
      <c r="H44" s="23"/>
    </row>
    <row r="45">
      <c r="A45" s="23"/>
      <c r="B45" s="23"/>
      <c r="C45" s="23"/>
      <c r="D45" s="27"/>
      <c r="E45" s="27"/>
      <c r="F45" s="23"/>
      <c r="G45" s="27"/>
      <c r="H45" s="23"/>
    </row>
    <row r="46">
      <c r="A46" s="23"/>
      <c r="B46" s="23"/>
      <c r="C46" s="23"/>
      <c r="D46" s="27"/>
      <c r="E46" s="27"/>
      <c r="F46" s="23"/>
      <c r="G46" s="27"/>
      <c r="H46" s="23"/>
    </row>
    <row r="47">
      <c r="A47" s="23"/>
      <c r="B47" s="23"/>
      <c r="C47" s="23"/>
      <c r="D47" s="27"/>
      <c r="E47" s="27"/>
      <c r="F47" s="23"/>
      <c r="G47" s="27"/>
      <c r="H47" s="23"/>
    </row>
    <row r="48">
      <c r="A48" s="23"/>
      <c r="B48" s="23"/>
      <c r="C48" s="23"/>
      <c r="D48" s="27"/>
      <c r="E48" s="27"/>
      <c r="F48" s="23"/>
      <c r="G48" s="27"/>
      <c r="H48" s="23"/>
    </row>
    <row r="49">
      <c r="A49" s="23"/>
      <c r="B49" s="23"/>
      <c r="C49" s="23"/>
      <c r="D49" s="27"/>
      <c r="E49" s="27"/>
      <c r="F49" s="23"/>
      <c r="G49" s="27"/>
      <c r="H49" s="23"/>
    </row>
    <row r="50">
      <c r="A50" s="23"/>
      <c r="B50" s="23"/>
      <c r="C50" s="23"/>
      <c r="D50" s="27"/>
      <c r="E50" s="27"/>
      <c r="F50" s="23"/>
      <c r="G50" s="27"/>
      <c r="H50" s="23"/>
    </row>
    <row r="51">
      <c r="A51" s="23"/>
      <c r="B51" s="23"/>
      <c r="C51" s="23"/>
      <c r="D51" s="27"/>
      <c r="E51" s="27"/>
      <c r="F51" s="23"/>
      <c r="G51" s="27"/>
      <c r="H51" s="23"/>
    </row>
    <row r="52">
      <c r="A52" s="23"/>
      <c r="B52" s="23"/>
      <c r="C52" s="23"/>
      <c r="D52" s="27"/>
      <c r="E52" s="27"/>
      <c r="F52" s="23"/>
      <c r="G52" s="27"/>
      <c r="H52" s="23"/>
    </row>
    <row r="53">
      <c r="A53" s="23"/>
      <c r="B53" s="23"/>
      <c r="C53" s="23"/>
      <c r="D53" s="27"/>
      <c r="E53" s="27"/>
      <c r="F53" s="23"/>
      <c r="G53" s="27"/>
      <c r="H53" s="23"/>
    </row>
    <row r="54">
      <c r="A54" s="23"/>
      <c r="B54" s="23"/>
      <c r="C54" s="23"/>
      <c r="D54" s="27"/>
      <c r="E54" s="27"/>
      <c r="F54" s="23"/>
      <c r="G54" s="27"/>
      <c r="H54" s="23"/>
    </row>
    <row r="55">
      <c r="A55" s="23"/>
      <c r="B55" s="23"/>
      <c r="C55" s="23"/>
      <c r="D55" s="27"/>
      <c r="E55" s="27"/>
      <c r="F55" s="23"/>
      <c r="G55" s="27"/>
      <c r="H55" s="23"/>
    </row>
    <row r="56">
      <c r="A56" s="23"/>
      <c r="B56" s="23"/>
      <c r="C56" s="23"/>
      <c r="D56" s="27"/>
      <c r="E56" s="27"/>
      <c r="F56" s="23"/>
      <c r="G56" s="27"/>
      <c r="H56" s="23"/>
    </row>
    <row r="57">
      <c r="A57" s="23"/>
      <c r="B57" s="23"/>
      <c r="C57" s="23"/>
      <c r="D57" s="27"/>
      <c r="E57" s="27"/>
      <c r="F57" s="23"/>
      <c r="G57" s="27"/>
      <c r="H57" s="23"/>
    </row>
    <row r="58">
      <c r="A58" s="23"/>
      <c r="B58" s="23"/>
      <c r="C58" s="23"/>
      <c r="D58" s="27"/>
      <c r="E58" s="27"/>
      <c r="F58" s="23"/>
      <c r="G58" s="27"/>
      <c r="H58" s="23"/>
    </row>
    <row r="59">
      <c r="A59" s="23"/>
      <c r="B59" s="23"/>
      <c r="C59" s="23"/>
      <c r="D59" s="27"/>
      <c r="E59" s="27"/>
      <c r="F59" s="23"/>
      <c r="G59" s="27"/>
      <c r="H59" s="23"/>
    </row>
    <row r="60">
      <c r="A60" s="23"/>
      <c r="B60" s="23"/>
      <c r="C60" s="23"/>
      <c r="D60" s="27"/>
      <c r="E60" s="27"/>
      <c r="F60" s="23"/>
      <c r="G60" s="27"/>
      <c r="H60" s="23"/>
    </row>
    <row r="61">
      <c r="A61" s="23"/>
      <c r="B61" s="23"/>
      <c r="C61" s="23"/>
      <c r="D61" s="27"/>
      <c r="E61" s="27"/>
      <c r="F61" s="23"/>
      <c r="G61" s="27"/>
      <c r="H61" s="23"/>
    </row>
    <row r="62">
      <c r="A62" s="23"/>
      <c r="B62" s="23"/>
      <c r="C62" s="23"/>
      <c r="D62" s="27"/>
      <c r="E62" s="27"/>
      <c r="F62" s="23"/>
      <c r="G62" s="27"/>
      <c r="H62" s="23"/>
    </row>
    <row r="63" ht="14.4">
      <c r="A63" s="34"/>
      <c r="B63" s="34"/>
      <c r="C63" s="34"/>
      <c r="D63" s="35"/>
      <c r="E63" s="35"/>
      <c r="F63" s="34"/>
      <c r="G63" s="35"/>
      <c r="H63" s="34"/>
    </row>
    <row r="64">
      <c r="C64" s="36"/>
      <c r="D64" s="36"/>
      <c r="E64" s="36"/>
      <c r="F64" s="36"/>
    </row>
    <row r="65">
      <c r="C65" s="36"/>
      <c r="D65" s="36"/>
      <c r="E65" s="36"/>
      <c r="F65" s="36"/>
    </row>
    <row r="66">
      <c r="C66" s="37"/>
      <c r="D66" s="36"/>
      <c r="E66" s="36"/>
      <c r="F66" s="36"/>
    </row>
    <row r="67">
      <c r="C67" s="37"/>
      <c r="D67" s="37"/>
      <c r="E67" s="37"/>
      <c r="F67" s="36"/>
    </row>
    <row r="68">
      <c r="C68" s="36"/>
      <c r="D68" s="37"/>
      <c r="E68" s="37"/>
      <c r="F68" s="36"/>
    </row>
    <row r="69">
      <c r="C69" s="37"/>
      <c r="D69" s="37"/>
      <c r="E69" s="37"/>
      <c r="F69" s="36"/>
    </row>
    <row r="70">
      <c r="C70" s="37"/>
      <c r="D70" s="37"/>
      <c r="E70" s="37"/>
      <c r="F70" s="36"/>
    </row>
    <row r="71">
      <c r="C71" s="37"/>
      <c r="D71" s="37"/>
      <c r="E71" s="37"/>
      <c r="F71" s="36"/>
    </row>
    <row r="72">
      <c r="C72" s="37"/>
      <c r="D72" s="37"/>
      <c r="E72" s="37"/>
      <c r="F72" s="36"/>
    </row>
    <row r="73">
      <c r="C73" s="37"/>
      <c r="D73" s="36"/>
      <c r="E73" s="36"/>
      <c r="F73" s="36"/>
    </row>
    <row r="74">
      <c r="C74" s="36"/>
      <c r="D74" s="37"/>
      <c r="E74" s="37"/>
      <c r="F74" s="36"/>
    </row>
    <row r="75">
      <c r="C75" s="37"/>
      <c r="D75" s="37"/>
      <c r="E75" s="37"/>
      <c r="F75" s="36"/>
    </row>
    <row r="76">
      <c r="C76" s="36"/>
      <c r="D76" s="36"/>
      <c r="E76" s="36"/>
      <c r="F76" s="36"/>
    </row>
    <row r="77">
      <c r="C77" s="36"/>
      <c r="D77" s="36"/>
      <c r="E77" s="36"/>
      <c r="F77" s="36"/>
    </row>
    <row r="78">
      <c r="C78" s="36"/>
      <c r="D78" s="36"/>
      <c r="E78" s="36"/>
      <c r="F78" s="36"/>
    </row>
    <row r="79">
      <c r="C79" s="36"/>
      <c r="D79" s="36"/>
      <c r="E79" s="36"/>
      <c r="F79" s="36"/>
    </row>
    <row r="80">
      <c r="C80" s="36"/>
      <c r="D80" s="36"/>
      <c r="E80" s="36"/>
      <c r="F80" s="36"/>
    </row>
    <row r="81">
      <c r="C81" s="36"/>
      <c r="D81" s="36"/>
      <c r="E81" s="36"/>
      <c r="F81" s="36"/>
    </row>
  </sheetData>
  <mergeCells count="7">
    <mergeCell ref="H8:H9"/>
    <mergeCell ref="A1:G1"/>
    <mergeCell ref="A8:A9"/>
    <mergeCell ref="B8:B9"/>
    <mergeCell ref="F8:F9"/>
    <mergeCell ref="G8:G9"/>
    <mergeCell ref="C8:E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CD0096-00E0-4FAF-8DB3-004D00F9003E}" type="list" allowBlank="1" error="Put checked or unchecked" errorStyle="stop" errorTitle="Input error" imeMode="noControl" operator="between" showDropDown="0" showErrorMessage="1" showInputMessage="1">
          <x14:formula1>
            <xm:f>$M$8:$M$9</xm:f>
          </x14:formula1>
          <xm:sqref>C10:C21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5" activeCellId="0" sqref="D5"/>
    </sheetView>
  </sheetViews>
  <sheetFormatPr defaultRowHeight="13.800000000000001"/>
  <cols>
    <col customWidth="1" min="2" max="2" width="38.296875"/>
    <col customWidth="1" min="3" max="4" width="19.3984375"/>
    <col customWidth="1" min="5" max="5" width="27.09765625"/>
    <col customWidth="1" min="6" max="6" width="24"/>
    <col customWidth="1" min="7" max="7" width="24.296875"/>
    <col customWidth="1" min="8" max="8" width="21"/>
    <col customWidth="1" hidden="1" min="13" max="13" width="0"/>
  </cols>
  <sheetData>
    <row r="1" ht="21">
      <c r="A1" s="11" t="s">
        <v>0</v>
      </c>
      <c r="B1" s="11"/>
      <c r="C1" s="11"/>
      <c r="D1" s="11"/>
      <c r="E1" s="11"/>
      <c r="F1" s="11"/>
      <c r="G1" s="11"/>
    </row>
    <row r="2" ht="21">
      <c r="A2" s="11"/>
      <c r="B2" s="11" t="s">
        <v>11</v>
      </c>
      <c r="C2" s="11" t="s">
        <v>182</v>
      </c>
      <c r="D2" s="11"/>
      <c r="E2" s="11"/>
      <c r="F2" s="11"/>
      <c r="G2" s="11"/>
    </row>
    <row r="3" ht="21">
      <c r="A3" s="11"/>
      <c r="B3" s="11" t="s">
        <v>13</v>
      </c>
      <c r="C3" s="11">
        <v>3</v>
      </c>
      <c r="D3" s="11"/>
      <c r="E3" s="11"/>
      <c r="F3" s="11"/>
      <c r="G3" s="11"/>
    </row>
    <row r="4" ht="21">
      <c r="A4" s="11"/>
      <c r="B4" s="11" t="s">
        <v>14</v>
      </c>
      <c r="C4" s="11">
        <v>8</v>
      </c>
      <c r="F4" s="11"/>
      <c r="G4" s="11"/>
    </row>
    <row r="5" ht="21">
      <c r="A5" s="11"/>
      <c r="B5" s="11" t="s">
        <v>15</v>
      </c>
      <c r="C5" s="11">
        <v>4</v>
      </c>
      <c r="D5" s="11"/>
      <c r="E5" s="11"/>
      <c r="F5" s="11"/>
      <c r="G5" s="11"/>
    </row>
    <row r="6" ht="21">
      <c r="A6" s="11"/>
      <c r="B6" s="11" t="s">
        <v>16</v>
      </c>
      <c r="C6" s="11">
        <v>4</v>
      </c>
      <c r="D6" s="11"/>
      <c r="E6" s="11"/>
      <c r="F6" s="11"/>
      <c r="G6" s="11"/>
    </row>
    <row r="7" ht="14.4"/>
    <row r="8" s="12" customFormat="1" ht="17.399999999999999">
      <c r="A8" s="13" t="s">
        <v>17</v>
      </c>
      <c r="B8" s="38" t="s">
        <v>18</v>
      </c>
      <c r="C8" s="14" t="s">
        <v>19</v>
      </c>
      <c r="D8" s="15"/>
      <c r="E8" s="16"/>
      <c r="F8" s="13" t="s">
        <v>20</v>
      </c>
      <c r="G8" s="13" t="s">
        <v>21</v>
      </c>
      <c r="H8" s="17" t="s">
        <v>22</v>
      </c>
      <c r="M8" s="18" t="s">
        <v>23</v>
      </c>
    </row>
    <row r="9" s="12" customFormat="1" ht="18">
      <c r="A9" s="19"/>
      <c r="B9" s="20"/>
      <c r="C9" s="20" t="s">
        <v>24</v>
      </c>
      <c r="D9" s="21" t="s">
        <v>25</v>
      </c>
      <c r="E9" s="21" t="s">
        <v>26</v>
      </c>
      <c r="F9" s="19"/>
      <c r="G9" s="19"/>
      <c r="H9" s="22"/>
      <c r="M9" s="18" t="s">
        <v>27</v>
      </c>
    </row>
    <row r="10">
      <c r="A10" s="23" t="s">
        <v>183</v>
      </c>
      <c r="B10" s="23" t="s">
        <v>184</v>
      </c>
      <c r="C10" s="25" t="s">
        <v>27</v>
      </c>
      <c r="D10" s="27">
        <v>66666</v>
      </c>
      <c r="E10" s="27">
        <v>1</v>
      </c>
      <c r="F10" s="23">
        <v>66666</v>
      </c>
      <c r="G10" s="27">
        <v>66666</v>
      </c>
      <c r="H10" s="23" t="str">
        <f t="shared" ref="H10:H17" si="6">IF(F10=G10,"Passed","Failed")</f>
        <v>Passed</v>
      </c>
    </row>
    <row r="11">
      <c r="A11" s="23" t="s">
        <v>185</v>
      </c>
      <c r="B11" s="23" t="s">
        <v>186</v>
      </c>
      <c r="C11" s="25" t="s">
        <v>27</v>
      </c>
      <c r="D11" s="27">
        <v>66666</v>
      </c>
      <c r="E11" s="27">
        <v>0</v>
      </c>
      <c r="F11" s="23">
        <v>-666660</v>
      </c>
      <c r="G11" s="27">
        <v>-666660</v>
      </c>
      <c r="H11" s="23" t="str">
        <f t="shared" si="6"/>
        <v>Passed</v>
      </c>
    </row>
    <row r="12">
      <c r="A12" s="23" t="s">
        <v>187</v>
      </c>
      <c r="B12" s="23" t="s">
        <v>188</v>
      </c>
      <c r="C12" s="25" t="s">
        <v>23</v>
      </c>
      <c r="D12" s="27">
        <v>66666</v>
      </c>
      <c r="E12" s="27">
        <v>0</v>
      </c>
      <c r="F12" s="23">
        <v>2</v>
      </c>
      <c r="G12" s="27">
        <v>78635476835478592</v>
      </c>
      <c r="H12" s="23" t="str">
        <f t="shared" si="6"/>
        <v>Failed</v>
      </c>
    </row>
    <row r="13">
      <c r="A13" s="23" t="s">
        <v>189</v>
      </c>
      <c r="B13" s="23" t="s">
        <v>165</v>
      </c>
      <c r="C13" s="25" t="s">
        <v>27</v>
      </c>
      <c r="D13" s="27">
        <v>5.694</v>
      </c>
      <c r="E13" s="27">
        <v>3.96</v>
      </c>
      <c r="F13" s="23"/>
      <c r="G13" s="27">
        <f t="shared" ref="G13:G17" si="7">D13/E13</f>
        <v>1.437878787878788</v>
      </c>
      <c r="H13" s="23" t="str">
        <f t="shared" si="6"/>
        <v>Failed</v>
      </c>
    </row>
    <row r="14">
      <c r="A14" s="23" t="s">
        <v>190</v>
      </c>
      <c r="B14" s="23" t="s">
        <v>167</v>
      </c>
      <c r="C14" s="25" t="s">
        <v>23</v>
      </c>
      <c r="D14" s="27">
        <v>8.9999999999999999e-08</v>
      </c>
      <c r="E14" s="27">
        <v>0.35999999999999999</v>
      </c>
      <c r="F14" s="23">
        <v>2</v>
      </c>
      <c r="G14" s="27">
        <f t="shared" si="7"/>
        <v>2.4999999999999999e-07</v>
      </c>
      <c r="H14" s="23" t="str">
        <f t="shared" si="6"/>
        <v>Failed</v>
      </c>
    </row>
    <row r="15">
      <c r="A15" s="23" t="s">
        <v>191</v>
      </c>
      <c r="B15" s="23" t="s">
        <v>169</v>
      </c>
      <c r="C15" s="25" t="s">
        <v>27</v>
      </c>
      <c r="D15" s="27">
        <v>9999999999</v>
      </c>
      <c r="E15" s="27">
        <v>9999999999</v>
      </c>
      <c r="F15" s="23">
        <v>1</v>
      </c>
      <c r="G15" s="27">
        <f>INT(D15/E15)</f>
        <v>1</v>
      </c>
      <c r="H15" s="23" t="str">
        <f t="shared" si="6"/>
        <v>Passed</v>
      </c>
    </row>
    <row r="16">
      <c r="A16" s="23" t="s">
        <v>192</v>
      </c>
      <c r="B16" s="23" t="s">
        <v>150</v>
      </c>
      <c r="C16" s="25" t="s">
        <v>27</v>
      </c>
      <c r="D16" s="27">
        <v>0</v>
      </c>
      <c r="E16" s="27">
        <v>1</v>
      </c>
      <c r="F16" s="23">
        <v>0</v>
      </c>
      <c r="G16" s="27">
        <f t="shared" si="7"/>
        <v>0</v>
      </c>
      <c r="H16" s="23" t="str">
        <f t="shared" si="6"/>
        <v>Passed</v>
      </c>
    </row>
    <row r="17">
      <c r="A17" s="23" t="s">
        <v>193</v>
      </c>
      <c r="B17" s="23" t="s">
        <v>152</v>
      </c>
      <c r="C17" s="25" t="s">
        <v>27</v>
      </c>
      <c r="D17" s="27">
        <v>0.10000000000000001</v>
      </c>
      <c r="E17" s="27">
        <v>0.99999990000000005</v>
      </c>
      <c r="F17" s="23">
        <v>0</v>
      </c>
      <c r="G17" s="27">
        <f t="shared" si="7"/>
        <v>0.100000010000001</v>
      </c>
      <c r="H17" s="23" t="str">
        <f t="shared" si="6"/>
        <v>Failed</v>
      </c>
    </row>
    <row r="18">
      <c r="A18" s="23"/>
      <c r="B18" s="23"/>
      <c r="C18" s="25"/>
      <c r="D18" s="27"/>
      <c r="E18" s="27"/>
      <c r="F18" s="23"/>
      <c r="G18" s="27"/>
      <c r="H18" s="23"/>
    </row>
    <row r="19">
      <c r="A19" s="23"/>
      <c r="B19" s="23"/>
      <c r="C19" s="25"/>
      <c r="D19" s="27"/>
      <c r="E19" s="27"/>
      <c r="F19" s="23"/>
      <c r="G19" s="27"/>
      <c r="H19" s="23"/>
    </row>
    <row r="20">
      <c r="A20" s="23"/>
      <c r="B20" s="23"/>
      <c r="C20" s="25"/>
      <c r="D20" s="27"/>
      <c r="E20" s="27"/>
      <c r="F20" s="23"/>
      <c r="G20" s="27"/>
      <c r="H20" s="23"/>
    </row>
    <row r="21">
      <c r="A21" s="23"/>
      <c r="B21" s="23"/>
      <c r="C21" s="25"/>
      <c r="D21" s="27"/>
      <c r="E21" s="27"/>
      <c r="F21" s="23"/>
      <c r="G21" s="27"/>
      <c r="H21" s="23"/>
    </row>
    <row r="22">
      <c r="A22" s="23"/>
      <c r="B22" s="23"/>
      <c r="C22" s="25"/>
      <c r="D22" s="27"/>
      <c r="E22" s="27"/>
      <c r="F22" s="23"/>
      <c r="G22" s="27"/>
      <c r="H22" s="23"/>
    </row>
    <row r="23">
      <c r="A23" s="23"/>
      <c r="B23" s="23"/>
      <c r="C23" s="25"/>
      <c r="D23" s="27"/>
      <c r="E23" s="27"/>
      <c r="F23" s="23"/>
      <c r="G23" s="27"/>
      <c r="H23" s="23"/>
    </row>
    <row r="24">
      <c r="A24" s="23"/>
      <c r="B24" s="23"/>
      <c r="C24" s="25"/>
      <c r="D24" s="27"/>
      <c r="E24" s="27"/>
      <c r="F24" s="23"/>
      <c r="G24" s="27"/>
      <c r="H24" s="23"/>
    </row>
    <row r="25">
      <c r="A25" s="23"/>
      <c r="B25" s="23"/>
      <c r="C25" s="25"/>
      <c r="D25" s="27"/>
      <c r="E25" s="27"/>
      <c r="F25" s="23"/>
      <c r="G25" s="27"/>
      <c r="H25" s="23"/>
    </row>
    <row r="26">
      <c r="A26" s="23"/>
      <c r="B26" s="23"/>
      <c r="C26" s="25"/>
      <c r="D26" s="27"/>
      <c r="E26" s="27"/>
      <c r="F26" s="23"/>
      <c r="G26" s="27"/>
      <c r="H26" s="23"/>
    </row>
    <row r="27">
      <c r="A27" s="23"/>
      <c r="B27" s="23"/>
      <c r="C27" s="25"/>
      <c r="D27" s="27"/>
      <c r="E27" s="27"/>
      <c r="F27" s="23"/>
      <c r="G27" s="27"/>
      <c r="H27" s="23"/>
    </row>
    <row r="28">
      <c r="A28" s="23"/>
      <c r="B28" s="23"/>
      <c r="C28" s="25"/>
      <c r="D28" s="27"/>
      <c r="E28" s="27"/>
      <c r="F28" s="23"/>
      <c r="G28" s="27"/>
      <c r="H28" s="23"/>
    </row>
    <row r="29" ht="24" customHeight="1">
      <c r="A29" s="23"/>
      <c r="B29" s="23"/>
      <c r="C29" s="25"/>
      <c r="D29" s="27"/>
      <c r="E29" s="27"/>
      <c r="F29" s="23"/>
      <c r="G29" s="27"/>
      <c r="H29" s="23"/>
    </row>
    <row r="30" ht="19.5" customHeight="1">
      <c r="A30" s="23"/>
      <c r="B30" s="23"/>
      <c r="C30" s="25"/>
      <c r="D30" s="27"/>
      <c r="E30" s="27"/>
      <c r="F30" s="23"/>
      <c r="G30" s="27"/>
      <c r="H30" s="23"/>
    </row>
    <row r="31">
      <c r="A31" s="23"/>
      <c r="B31" s="23"/>
      <c r="C31" s="25"/>
      <c r="D31" s="27"/>
      <c r="E31" s="27"/>
      <c r="F31" s="23"/>
      <c r="G31" s="27"/>
      <c r="H31" s="23"/>
    </row>
    <row r="32">
      <c r="A32" s="23"/>
      <c r="B32" s="23"/>
      <c r="C32" s="25"/>
      <c r="D32" s="27"/>
      <c r="E32" s="27"/>
      <c r="F32" s="23"/>
      <c r="G32" s="27"/>
      <c r="H32" s="23"/>
    </row>
    <row r="33">
      <c r="A33" s="23"/>
      <c r="B33" s="23"/>
      <c r="C33" s="25"/>
      <c r="D33" s="33"/>
      <c r="E33" s="27"/>
      <c r="F33" s="23"/>
      <c r="G33" s="27"/>
      <c r="H33" s="23"/>
    </row>
    <row r="34">
      <c r="A34" s="23"/>
      <c r="B34" s="23"/>
      <c r="C34" s="23"/>
      <c r="D34" s="33"/>
      <c r="E34" s="33"/>
      <c r="F34" s="23"/>
      <c r="G34" s="27"/>
      <c r="H34" s="23"/>
    </row>
    <row r="35">
      <c r="A35" s="23"/>
      <c r="B35" s="23"/>
      <c r="C35" s="23"/>
      <c r="D35" s="27"/>
      <c r="E35" s="33"/>
      <c r="F35" s="23"/>
      <c r="G35" s="27"/>
      <c r="H35" s="23"/>
    </row>
    <row r="36">
      <c r="A36" s="23"/>
      <c r="B36" s="23"/>
      <c r="C36" s="23"/>
      <c r="D36" s="33"/>
      <c r="E36" s="33"/>
      <c r="F36" s="23"/>
      <c r="G36" s="27"/>
      <c r="H36" s="23"/>
    </row>
    <row r="37">
      <c r="A37" s="23"/>
      <c r="B37" s="23"/>
      <c r="C37" s="23"/>
      <c r="D37" s="33"/>
      <c r="E37" s="33"/>
      <c r="F37" s="23"/>
      <c r="G37" s="27"/>
      <c r="H37" s="23"/>
    </row>
    <row r="38">
      <c r="A38" s="23"/>
      <c r="B38" s="23"/>
      <c r="C38" s="23"/>
      <c r="D38" s="33"/>
      <c r="E38" s="33"/>
      <c r="F38" s="23"/>
      <c r="G38" s="27"/>
      <c r="H38" s="23"/>
    </row>
    <row r="39">
      <c r="A39" s="23"/>
      <c r="B39" s="23"/>
      <c r="C39" s="23"/>
      <c r="D39" s="33"/>
      <c r="E39" s="33"/>
      <c r="F39" s="23"/>
      <c r="G39" s="27"/>
      <c r="H39" s="23"/>
    </row>
    <row r="40">
      <c r="A40" s="23"/>
      <c r="B40" s="23"/>
      <c r="C40" s="23"/>
      <c r="D40" s="33"/>
      <c r="E40" s="27"/>
      <c r="F40" s="23"/>
      <c r="G40" s="27"/>
      <c r="H40" s="23"/>
    </row>
    <row r="41">
      <c r="A41" s="23"/>
      <c r="B41" s="23"/>
      <c r="C41" s="23"/>
      <c r="D41" s="27"/>
      <c r="E41" s="33"/>
      <c r="F41" s="23"/>
      <c r="G41" s="27"/>
      <c r="H41" s="23"/>
    </row>
    <row r="42">
      <c r="A42" s="23"/>
      <c r="B42" s="23"/>
      <c r="C42" s="23"/>
      <c r="D42" s="33"/>
      <c r="E42" s="33"/>
      <c r="F42" s="23"/>
      <c r="G42" s="27"/>
      <c r="H42" s="23"/>
    </row>
    <row r="43">
      <c r="A43" s="23"/>
      <c r="B43" s="23"/>
      <c r="C43" s="23"/>
      <c r="D43" s="27"/>
      <c r="E43" s="27"/>
      <c r="F43" s="23"/>
      <c r="G43" s="27"/>
      <c r="H43" s="23"/>
    </row>
    <row r="44">
      <c r="A44" s="23"/>
      <c r="B44" s="23"/>
      <c r="C44" s="23"/>
      <c r="D44" s="27"/>
      <c r="E44" s="27"/>
      <c r="F44" s="23"/>
      <c r="G44" s="27"/>
      <c r="H44" s="23"/>
    </row>
    <row r="45">
      <c r="A45" s="23"/>
      <c r="B45" s="23"/>
      <c r="C45" s="23"/>
      <c r="D45" s="27"/>
      <c r="E45" s="27"/>
      <c r="F45" s="23"/>
      <c r="G45" s="27"/>
      <c r="H45" s="23"/>
    </row>
    <row r="46">
      <c r="A46" s="23"/>
      <c r="B46" s="23"/>
      <c r="C46" s="23"/>
      <c r="D46" s="27"/>
      <c r="E46" s="27"/>
      <c r="F46" s="23"/>
      <c r="G46" s="27"/>
      <c r="H46" s="23"/>
    </row>
    <row r="47">
      <c r="A47" s="23"/>
      <c r="B47" s="23"/>
      <c r="C47" s="23"/>
      <c r="D47" s="27"/>
      <c r="E47" s="27"/>
      <c r="F47" s="23"/>
      <c r="G47" s="27"/>
      <c r="H47" s="23"/>
    </row>
    <row r="48">
      <c r="A48" s="23"/>
      <c r="B48" s="23"/>
      <c r="C48" s="23"/>
      <c r="D48" s="27"/>
      <c r="E48" s="27"/>
      <c r="F48" s="23"/>
      <c r="G48" s="27"/>
      <c r="H48" s="23"/>
    </row>
    <row r="49">
      <c r="A49" s="23"/>
      <c r="B49" s="23"/>
      <c r="C49" s="23"/>
      <c r="D49" s="27"/>
      <c r="E49" s="27"/>
      <c r="F49" s="23"/>
      <c r="G49" s="27"/>
      <c r="H49" s="23"/>
    </row>
    <row r="50">
      <c r="A50" s="23"/>
      <c r="B50" s="23"/>
      <c r="C50" s="23"/>
      <c r="D50" s="27"/>
      <c r="E50" s="27"/>
      <c r="F50" s="23"/>
      <c r="G50" s="27"/>
      <c r="H50" s="23"/>
    </row>
    <row r="51">
      <c r="A51" s="23"/>
      <c r="B51" s="23"/>
      <c r="C51" s="23"/>
      <c r="D51" s="27"/>
      <c r="E51" s="27"/>
      <c r="F51" s="23"/>
      <c r="G51" s="27"/>
      <c r="H51" s="23"/>
    </row>
    <row r="52">
      <c r="A52" s="23"/>
      <c r="B52" s="23"/>
      <c r="C52" s="23"/>
      <c r="D52" s="27"/>
      <c r="E52" s="27"/>
      <c r="F52" s="23"/>
      <c r="G52" s="27"/>
      <c r="H52" s="23"/>
    </row>
    <row r="53">
      <c r="A53" s="23"/>
      <c r="B53" s="23"/>
      <c r="C53" s="23"/>
      <c r="D53" s="27"/>
      <c r="E53" s="27"/>
      <c r="F53" s="23"/>
      <c r="G53" s="27"/>
      <c r="H53" s="23"/>
    </row>
    <row r="54">
      <c r="A54" s="23"/>
      <c r="B54" s="23"/>
      <c r="C54" s="23"/>
      <c r="D54" s="27"/>
      <c r="E54" s="27"/>
      <c r="F54" s="23"/>
      <c r="G54" s="27"/>
      <c r="H54" s="23"/>
    </row>
    <row r="55">
      <c r="A55" s="23"/>
      <c r="B55" s="23"/>
      <c r="C55" s="23"/>
      <c r="D55" s="27"/>
      <c r="E55" s="27"/>
      <c r="F55" s="23"/>
      <c r="G55" s="27"/>
      <c r="H55" s="23"/>
    </row>
    <row r="56">
      <c r="A56" s="23"/>
      <c r="B56" s="23"/>
      <c r="C56" s="23"/>
      <c r="D56" s="27"/>
      <c r="E56" s="27"/>
      <c r="F56" s="23"/>
      <c r="G56" s="27"/>
      <c r="H56" s="23"/>
    </row>
    <row r="57">
      <c r="A57" s="23"/>
      <c r="B57" s="23"/>
      <c r="C57" s="23"/>
      <c r="D57" s="27"/>
      <c r="E57" s="27"/>
      <c r="F57" s="23"/>
      <c r="G57" s="27"/>
      <c r="H57" s="23"/>
    </row>
    <row r="58">
      <c r="A58" s="23"/>
      <c r="B58" s="23"/>
      <c r="C58" s="23"/>
      <c r="D58" s="27"/>
      <c r="E58" s="27"/>
      <c r="F58" s="23"/>
      <c r="G58" s="27"/>
      <c r="H58" s="23"/>
    </row>
    <row r="59">
      <c r="A59" s="23"/>
      <c r="B59" s="23"/>
      <c r="C59" s="23"/>
      <c r="D59" s="27"/>
      <c r="E59" s="27"/>
      <c r="F59" s="23"/>
      <c r="G59" s="27"/>
      <c r="H59" s="23"/>
    </row>
    <row r="60">
      <c r="A60" s="23"/>
      <c r="B60" s="23"/>
      <c r="C60" s="23"/>
      <c r="D60" s="27"/>
      <c r="E60" s="27"/>
      <c r="F60" s="23"/>
      <c r="G60" s="27"/>
      <c r="H60" s="23"/>
    </row>
    <row r="61">
      <c r="A61" s="23"/>
      <c r="B61" s="23"/>
      <c r="C61" s="23"/>
      <c r="D61" s="27"/>
      <c r="E61" s="27"/>
      <c r="F61" s="23"/>
      <c r="G61" s="27"/>
      <c r="H61" s="23"/>
    </row>
    <row r="62">
      <c r="A62" s="23"/>
      <c r="B62" s="23"/>
      <c r="C62" s="23"/>
      <c r="D62" s="27"/>
      <c r="E62" s="27"/>
      <c r="F62" s="23"/>
      <c r="G62" s="27"/>
      <c r="H62" s="23"/>
    </row>
    <row r="63" ht="14.4">
      <c r="A63" s="34"/>
      <c r="B63" s="34"/>
      <c r="C63" s="34"/>
      <c r="D63" s="35"/>
      <c r="E63" s="35"/>
      <c r="F63" s="34"/>
      <c r="G63" s="35"/>
      <c r="H63" s="34"/>
    </row>
    <row r="64">
      <c r="C64" s="36"/>
      <c r="D64" s="36"/>
      <c r="E64" s="36"/>
      <c r="F64" s="36"/>
    </row>
    <row r="65">
      <c r="C65" s="36"/>
      <c r="D65" s="36"/>
      <c r="E65" s="36"/>
      <c r="F65" s="36"/>
    </row>
    <row r="66">
      <c r="C66" s="37"/>
      <c r="D66" s="36"/>
      <c r="E66" s="36"/>
      <c r="F66" s="36"/>
    </row>
    <row r="67">
      <c r="C67" s="37"/>
      <c r="D67" s="37"/>
      <c r="E67" s="37"/>
      <c r="F67" s="36"/>
    </row>
    <row r="68">
      <c r="C68" s="36"/>
      <c r="D68" s="37"/>
      <c r="E68" s="37"/>
      <c r="F68" s="36"/>
    </row>
    <row r="69">
      <c r="C69" s="37"/>
      <c r="D69" s="37"/>
      <c r="E69" s="37"/>
      <c r="F69" s="36"/>
    </row>
    <row r="70">
      <c r="C70" s="37"/>
      <c r="D70" s="37"/>
      <c r="E70" s="37"/>
      <c r="F70" s="36"/>
    </row>
    <row r="71">
      <c r="C71" s="37"/>
      <c r="D71" s="37"/>
      <c r="E71" s="37"/>
      <c r="F71" s="36"/>
    </row>
    <row r="72">
      <c r="C72" s="37"/>
      <c r="D72" s="37"/>
      <c r="E72" s="37"/>
      <c r="F72" s="36"/>
    </row>
    <row r="73">
      <c r="C73" s="37"/>
      <c r="D73" s="36"/>
      <c r="E73" s="36"/>
      <c r="F73" s="36"/>
    </row>
    <row r="74">
      <c r="C74" s="36"/>
      <c r="D74" s="37"/>
      <c r="E74" s="37"/>
      <c r="F74" s="36"/>
    </row>
    <row r="75">
      <c r="C75" s="37"/>
      <c r="D75" s="37"/>
      <c r="E75" s="37"/>
      <c r="F75" s="36"/>
    </row>
    <row r="76">
      <c r="C76" s="36"/>
      <c r="D76" s="36"/>
      <c r="E76" s="36"/>
      <c r="F76" s="36"/>
    </row>
    <row r="77">
      <c r="C77" s="36"/>
      <c r="D77" s="36"/>
      <c r="E77" s="36"/>
      <c r="F77" s="36"/>
    </row>
    <row r="78">
      <c r="C78" s="36"/>
      <c r="D78" s="36"/>
      <c r="E78" s="36"/>
      <c r="F78" s="36"/>
    </row>
    <row r="79">
      <c r="C79" s="36"/>
      <c r="D79" s="36"/>
      <c r="E79" s="36"/>
      <c r="F79" s="36"/>
    </row>
    <row r="80">
      <c r="C80" s="36"/>
      <c r="D80" s="36"/>
      <c r="E80" s="36"/>
      <c r="F80" s="36"/>
    </row>
    <row r="81">
      <c r="C81" s="36"/>
      <c r="D81" s="36"/>
      <c r="E81" s="36"/>
      <c r="F81" s="36"/>
    </row>
  </sheetData>
  <mergeCells count="7">
    <mergeCell ref="H8:H9"/>
    <mergeCell ref="A1:G1"/>
    <mergeCell ref="A8:A9"/>
    <mergeCell ref="B8:B9"/>
    <mergeCell ref="F8:F9"/>
    <mergeCell ref="G8:G9"/>
    <mergeCell ref="C8:E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E500AF-0007-46D5-B02A-0017006F0032}" type="list" allowBlank="1" error="Put checked or unchecked" errorStyle="stop" errorTitle="Input error" imeMode="noControl" operator="between" showDropDown="0" showErrorMessage="1" showInputMessage="1">
          <x14:formula1>
            <xm:f>$M$8:$M$9</xm:f>
          </x14:formula1>
          <xm:sqref>C10:C33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RowHeight="13.800000000000001"/>
  <cols>
    <col customWidth="1" min="2" max="2" width="38.296875"/>
    <col customWidth="1" min="3" max="4" width="19.3984375"/>
    <col customWidth="1" min="5" max="5" width="27.09765625"/>
    <col customWidth="1" min="6" max="6" width="24"/>
    <col customWidth="1" min="7" max="7" width="24.296875"/>
    <col customWidth="1" min="8" max="8" width="21"/>
    <col customWidth="1" hidden="1" min="13" max="13" width="0"/>
  </cols>
  <sheetData>
    <row r="1" ht="21">
      <c r="A1" s="11" t="s">
        <v>0</v>
      </c>
      <c r="B1" s="11"/>
      <c r="C1" s="11"/>
      <c r="D1" s="11"/>
      <c r="E1" s="11"/>
      <c r="F1" s="11"/>
      <c r="G1" s="11"/>
    </row>
    <row r="2" ht="21">
      <c r="A2" s="11"/>
      <c r="B2" s="11" t="s">
        <v>11</v>
      </c>
      <c r="C2" s="11" t="s">
        <v>194</v>
      </c>
      <c r="D2" s="11"/>
      <c r="E2" s="11"/>
      <c r="F2" s="11"/>
      <c r="G2" s="11"/>
    </row>
    <row r="3" ht="21">
      <c r="A3" s="11"/>
      <c r="B3" s="11" t="s">
        <v>13</v>
      </c>
      <c r="C3" s="11">
        <v>3</v>
      </c>
      <c r="D3" s="11"/>
      <c r="E3" s="11"/>
      <c r="F3" s="11"/>
      <c r="G3" s="11"/>
    </row>
    <row r="4" ht="21">
      <c r="A4" s="11"/>
      <c r="B4" s="11" t="s">
        <v>14</v>
      </c>
      <c r="C4" s="11">
        <v>7</v>
      </c>
      <c r="F4" s="11"/>
      <c r="G4" s="11"/>
    </row>
    <row r="5" ht="21">
      <c r="A5" s="11"/>
      <c r="B5" s="11" t="s">
        <v>15</v>
      </c>
      <c r="C5" s="11">
        <v>0</v>
      </c>
      <c r="D5" s="11"/>
      <c r="E5" s="11"/>
      <c r="F5" s="11"/>
      <c r="G5" s="11"/>
    </row>
    <row r="6" ht="21">
      <c r="A6" s="11"/>
      <c r="B6" s="11" t="s">
        <v>16</v>
      </c>
      <c r="C6" s="11">
        <v>7</v>
      </c>
      <c r="D6" s="11"/>
      <c r="E6" s="11"/>
      <c r="F6" s="11"/>
      <c r="G6" s="11"/>
    </row>
    <row r="7" ht="14.4"/>
    <row r="8" s="12" customFormat="1" ht="17.399999999999999">
      <c r="A8" s="13" t="s">
        <v>17</v>
      </c>
      <c r="B8" s="38" t="s">
        <v>18</v>
      </c>
      <c r="C8" s="14" t="s">
        <v>19</v>
      </c>
      <c r="D8" s="15"/>
      <c r="E8" s="16"/>
      <c r="F8" s="13" t="s">
        <v>20</v>
      </c>
      <c r="G8" s="13" t="s">
        <v>21</v>
      </c>
      <c r="H8" s="17" t="s">
        <v>22</v>
      </c>
      <c r="M8" s="18" t="s">
        <v>23</v>
      </c>
    </row>
    <row r="9" s="12" customFormat="1" ht="18">
      <c r="A9" s="19"/>
      <c r="B9" s="20"/>
      <c r="C9" s="20" t="s">
        <v>24</v>
      </c>
      <c r="D9" s="21" t="s">
        <v>25</v>
      </c>
      <c r="E9" s="21" t="s">
        <v>26</v>
      </c>
      <c r="F9" s="19"/>
      <c r="G9" s="19"/>
      <c r="H9" s="22"/>
      <c r="M9" s="18" t="s">
        <v>27</v>
      </c>
    </row>
    <row r="10">
      <c r="A10" s="23" t="s">
        <v>195</v>
      </c>
      <c r="B10" s="23" t="s">
        <v>196</v>
      </c>
      <c r="C10" s="25" t="s">
        <v>27</v>
      </c>
      <c r="D10" s="27" t="s">
        <v>197</v>
      </c>
      <c r="E10" s="27" t="s">
        <v>198</v>
      </c>
      <c r="F10" s="23" t="s">
        <v>199</v>
      </c>
      <c r="G10" s="27" t="s">
        <v>199</v>
      </c>
      <c r="H10" s="23" t="str">
        <f t="shared" ref="H10:H16" si="8">IF(F10=G10,"Passed","Failled")</f>
        <v>Passed</v>
      </c>
    </row>
    <row r="11">
      <c r="A11" s="23" t="s">
        <v>200</v>
      </c>
      <c r="B11" s="23" t="s">
        <v>201</v>
      </c>
      <c r="C11" s="25" t="s">
        <v>27</v>
      </c>
      <c r="D11" s="27" t="s">
        <v>202</v>
      </c>
      <c r="E11" s="27" t="s">
        <v>203</v>
      </c>
      <c r="F11" s="23" t="s">
        <v>204</v>
      </c>
      <c r="G11" s="27" t="s">
        <v>204</v>
      </c>
      <c r="H11" s="23" t="str">
        <f t="shared" si="8"/>
        <v>Passed</v>
      </c>
    </row>
    <row r="12" ht="20.399999999999999">
      <c r="A12" s="23" t="s">
        <v>205</v>
      </c>
      <c r="B12" s="23" t="s">
        <v>206</v>
      </c>
      <c r="C12" s="25" t="s">
        <v>27</v>
      </c>
      <c r="D12" s="48" t="s">
        <v>207</v>
      </c>
      <c r="E12" s="49" t="s">
        <v>208</v>
      </c>
      <c r="F12" s="48" t="s">
        <v>209</v>
      </c>
      <c r="G12" s="48" t="s">
        <v>209</v>
      </c>
      <c r="H12" s="23" t="str">
        <f t="shared" si="8"/>
        <v>Passed</v>
      </c>
    </row>
    <row r="13">
      <c r="A13" s="23" t="s">
        <v>210</v>
      </c>
      <c r="B13" s="23" t="s">
        <v>211</v>
      </c>
      <c r="C13" s="25" t="s">
        <v>27</v>
      </c>
      <c r="D13" s="27" t="s">
        <v>212</v>
      </c>
      <c r="E13" s="27" t="s">
        <v>213</v>
      </c>
      <c r="F13" s="27" t="s">
        <v>214</v>
      </c>
      <c r="G13" s="27" t="s">
        <v>214</v>
      </c>
      <c r="H13" s="23" t="str">
        <f t="shared" si="8"/>
        <v>Passed</v>
      </c>
    </row>
    <row r="14">
      <c r="A14" s="23" t="s">
        <v>215</v>
      </c>
      <c r="B14" s="23" t="s">
        <v>216</v>
      </c>
      <c r="C14" s="25" t="s">
        <v>27</v>
      </c>
      <c r="D14" s="50" t="s">
        <v>217</v>
      </c>
      <c r="E14" s="50" t="s">
        <v>218</v>
      </c>
      <c r="F14" s="23" t="s">
        <v>219</v>
      </c>
      <c r="G14" s="27" t="s">
        <v>219</v>
      </c>
      <c r="H14" s="23" t="str">
        <f t="shared" si="8"/>
        <v>Passed</v>
      </c>
    </row>
    <row r="15">
      <c r="A15" s="23" t="s">
        <v>220</v>
      </c>
      <c r="B15" s="23" t="s">
        <v>221</v>
      </c>
      <c r="C15" s="25" t="s">
        <v>27</v>
      </c>
      <c r="D15" s="27" t="s">
        <v>222</v>
      </c>
      <c r="E15" s="27" t="s">
        <v>223</v>
      </c>
      <c r="F15" s="23" t="s">
        <v>224</v>
      </c>
      <c r="G15" s="23" t="s">
        <v>224</v>
      </c>
      <c r="H15" s="23" t="str">
        <f t="shared" si="8"/>
        <v>Passed</v>
      </c>
    </row>
    <row r="16">
      <c r="A16" s="23" t="s">
        <v>225</v>
      </c>
      <c r="B16" s="23" t="s">
        <v>226</v>
      </c>
      <c r="C16" s="25" t="s">
        <v>27</v>
      </c>
      <c r="D16" s="27" t="s">
        <v>227</v>
      </c>
      <c r="E16" s="27" t="s">
        <v>228</v>
      </c>
      <c r="F16" s="23" t="s">
        <v>229</v>
      </c>
      <c r="G16" s="27" t="s">
        <v>229</v>
      </c>
      <c r="H16" s="23" t="str">
        <f t="shared" si="8"/>
        <v>Passed</v>
      </c>
    </row>
    <row r="17">
      <c r="A17" s="23"/>
      <c r="B17" s="23"/>
      <c r="C17" s="23"/>
      <c r="D17" s="27"/>
      <c r="E17" s="27"/>
      <c r="F17" s="23"/>
      <c r="G17" s="27"/>
      <c r="H17" s="23"/>
    </row>
    <row r="18">
      <c r="A18" s="23"/>
      <c r="B18" s="23"/>
      <c r="C18" s="23"/>
      <c r="D18" s="27"/>
      <c r="E18" s="27"/>
      <c r="F18" s="23"/>
      <c r="G18" s="27"/>
      <c r="H18" s="23"/>
    </row>
    <row r="19">
      <c r="A19" s="23"/>
      <c r="B19" s="23"/>
      <c r="C19" s="23"/>
      <c r="D19" s="27"/>
      <c r="E19" s="27"/>
      <c r="F19" s="23"/>
      <c r="G19" s="27"/>
      <c r="H19" s="23"/>
    </row>
    <row r="20">
      <c r="A20" s="23"/>
      <c r="B20" s="23"/>
      <c r="C20" s="23"/>
      <c r="D20" s="27"/>
      <c r="E20" s="27"/>
      <c r="F20" s="23"/>
      <c r="G20" s="27"/>
      <c r="H20" s="23"/>
    </row>
    <row r="21">
      <c r="A21" s="23"/>
      <c r="B21" s="23"/>
      <c r="C21" s="23"/>
      <c r="D21" s="27"/>
      <c r="E21" s="27"/>
      <c r="F21" s="23"/>
      <c r="G21" s="27"/>
      <c r="H21" s="23"/>
    </row>
    <row r="22">
      <c r="A22" s="23"/>
      <c r="B22" s="23"/>
      <c r="C22" s="23"/>
      <c r="D22" s="27"/>
      <c r="E22" s="27"/>
      <c r="F22" s="23"/>
      <c r="G22" s="27"/>
      <c r="H22" s="23"/>
    </row>
    <row r="23">
      <c r="A23" s="23"/>
      <c r="B23" s="47"/>
      <c r="C23" s="47"/>
      <c r="D23" s="27"/>
      <c r="E23" s="27"/>
      <c r="F23" s="23"/>
      <c r="G23" s="27"/>
      <c r="H23" s="23"/>
    </row>
    <row r="24">
      <c r="A24" s="23"/>
      <c r="B24" s="47"/>
      <c r="C24" s="47"/>
      <c r="D24" s="27"/>
      <c r="E24" s="27"/>
      <c r="F24" s="23"/>
      <c r="G24" s="27"/>
      <c r="H24" s="23"/>
    </row>
    <row r="25">
      <c r="A25" s="23"/>
      <c r="B25" s="47"/>
      <c r="C25" s="47"/>
      <c r="D25" s="27"/>
      <c r="E25" s="27"/>
      <c r="F25" s="23"/>
      <c r="G25" s="27"/>
      <c r="H25" s="23"/>
    </row>
    <row r="26">
      <c r="A26" s="23"/>
      <c r="B26" s="47"/>
      <c r="C26" s="47"/>
      <c r="D26" s="27"/>
      <c r="E26" s="27"/>
      <c r="F26" s="23"/>
      <c r="G26" s="27"/>
      <c r="H26" s="23"/>
    </row>
    <row r="27">
      <c r="A27" s="23"/>
      <c r="B27" s="47"/>
      <c r="C27" s="47"/>
      <c r="D27" s="27"/>
      <c r="E27" s="27"/>
      <c r="F27" s="23"/>
      <c r="G27" s="27"/>
      <c r="H27" s="23"/>
    </row>
    <row r="28">
      <c r="A28" s="23"/>
      <c r="B28" s="47"/>
      <c r="C28" s="47"/>
      <c r="D28" s="27"/>
      <c r="E28" s="27"/>
      <c r="F28" s="23"/>
      <c r="G28" s="27"/>
      <c r="H28" s="23"/>
    </row>
    <row r="29" ht="24" customHeight="1">
      <c r="A29" s="23"/>
      <c r="B29" s="23"/>
      <c r="C29" s="23"/>
      <c r="D29" s="27"/>
      <c r="E29" s="27"/>
      <c r="F29" s="23"/>
      <c r="G29" s="27"/>
      <c r="H29" s="23"/>
    </row>
    <row r="30" ht="19.5" customHeight="1">
      <c r="A30" s="23"/>
      <c r="B30" s="23"/>
      <c r="C30" s="23"/>
      <c r="D30" s="27"/>
      <c r="E30" s="27"/>
      <c r="F30" s="23"/>
      <c r="G30" s="27"/>
      <c r="H30" s="23"/>
    </row>
    <row r="31">
      <c r="A31" s="23"/>
      <c r="B31" s="23"/>
      <c r="C31" s="23"/>
      <c r="D31" s="27"/>
      <c r="E31" s="27"/>
      <c r="F31" s="23"/>
      <c r="G31" s="27"/>
      <c r="H31" s="23"/>
    </row>
    <row r="32">
      <c r="A32" s="23"/>
      <c r="B32" s="23"/>
      <c r="C32" s="23"/>
      <c r="D32" s="27"/>
      <c r="E32" s="27"/>
      <c r="F32" s="23"/>
      <c r="G32" s="27"/>
      <c r="H32" s="23"/>
    </row>
    <row r="33">
      <c r="A33" s="23"/>
      <c r="B33" s="23"/>
      <c r="C33" s="23"/>
      <c r="D33" s="33"/>
      <c r="E33" s="27"/>
      <c r="F33" s="23"/>
      <c r="G33" s="27"/>
      <c r="H33" s="23"/>
    </row>
    <row r="34">
      <c r="A34" s="23"/>
      <c r="B34" s="23"/>
      <c r="C34" s="23"/>
      <c r="D34" s="33"/>
      <c r="E34" s="33"/>
      <c r="F34" s="23"/>
      <c r="G34" s="27"/>
      <c r="H34" s="23"/>
    </row>
    <row r="35">
      <c r="A35" s="23"/>
      <c r="B35" s="23"/>
      <c r="C35" s="23"/>
      <c r="D35" s="27"/>
      <c r="E35" s="33"/>
      <c r="F35" s="23"/>
      <c r="G35" s="27"/>
      <c r="H35" s="23"/>
    </row>
    <row r="36">
      <c r="A36" s="23"/>
      <c r="B36" s="23"/>
      <c r="C36" s="23"/>
      <c r="D36" s="33"/>
      <c r="E36" s="33"/>
      <c r="F36" s="23"/>
      <c r="G36" s="27"/>
      <c r="H36" s="23"/>
    </row>
    <row r="37">
      <c r="A37" s="23"/>
      <c r="B37" s="23"/>
      <c r="C37" s="23"/>
      <c r="D37" s="33"/>
      <c r="E37" s="33"/>
      <c r="F37" s="23"/>
      <c r="G37" s="27"/>
      <c r="H37" s="23"/>
    </row>
    <row r="38">
      <c r="A38" s="23"/>
      <c r="B38" s="23"/>
      <c r="C38" s="23"/>
      <c r="D38" s="33"/>
      <c r="E38" s="33"/>
      <c r="F38" s="23"/>
      <c r="G38" s="27"/>
      <c r="H38" s="23"/>
    </row>
    <row r="39">
      <c r="A39" s="23"/>
      <c r="B39" s="23"/>
      <c r="C39" s="23"/>
      <c r="D39" s="33"/>
      <c r="E39" s="33"/>
      <c r="F39" s="23"/>
      <c r="G39" s="27"/>
      <c r="H39" s="23"/>
    </row>
    <row r="40">
      <c r="A40" s="23"/>
      <c r="B40" s="23"/>
      <c r="C40" s="23"/>
      <c r="D40" s="33"/>
      <c r="E40" s="27"/>
      <c r="F40" s="23"/>
      <c r="G40" s="27"/>
      <c r="H40" s="23"/>
    </row>
    <row r="41">
      <c r="A41" s="23"/>
      <c r="B41" s="23"/>
      <c r="C41" s="23"/>
      <c r="D41" s="27"/>
      <c r="E41" s="33"/>
      <c r="F41" s="23"/>
      <c r="G41" s="27"/>
      <c r="H41" s="23"/>
    </row>
    <row r="42">
      <c r="A42" s="23"/>
      <c r="B42" s="23"/>
      <c r="C42" s="23"/>
      <c r="D42" s="33"/>
      <c r="E42" s="33"/>
      <c r="F42" s="23"/>
      <c r="G42" s="27"/>
      <c r="H42" s="23"/>
    </row>
    <row r="43">
      <c r="A43" s="23"/>
      <c r="B43" s="23"/>
      <c r="C43" s="23"/>
      <c r="D43" s="27"/>
      <c r="E43" s="27"/>
      <c r="F43" s="23"/>
      <c r="G43" s="27"/>
      <c r="H43" s="23"/>
    </row>
    <row r="44">
      <c r="A44" s="23"/>
      <c r="B44" s="23"/>
      <c r="C44" s="23"/>
      <c r="D44" s="27"/>
      <c r="E44" s="27"/>
      <c r="F44" s="23"/>
      <c r="G44" s="27"/>
      <c r="H44" s="23"/>
    </row>
    <row r="45">
      <c r="A45" s="23"/>
      <c r="B45" s="23"/>
      <c r="C45" s="23"/>
      <c r="D45" s="27"/>
      <c r="E45" s="27"/>
      <c r="F45" s="23"/>
      <c r="G45" s="27"/>
      <c r="H45" s="23"/>
    </row>
    <row r="46">
      <c r="A46" s="23"/>
      <c r="B46" s="23"/>
      <c r="C46" s="23"/>
      <c r="D46" s="27"/>
      <c r="E46" s="27"/>
      <c r="F46" s="23"/>
      <c r="G46" s="27"/>
      <c r="H46" s="23"/>
    </row>
    <row r="47">
      <c r="A47" s="23"/>
      <c r="B47" s="23"/>
      <c r="C47" s="23"/>
      <c r="D47" s="27"/>
      <c r="E47" s="27"/>
      <c r="F47" s="23"/>
      <c r="G47" s="27"/>
      <c r="H47" s="23"/>
    </row>
    <row r="48">
      <c r="A48" s="23"/>
      <c r="B48" s="23"/>
      <c r="C48" s="23"/>
      <c r="D48" s="27"/>
      <c r="E48" s="27"/>
      <c r="F48" s="23"/>
      <c r="G48" s="27"/>
      <c r="H48" s="23"/>
    </row>
    <row r="49">
      <c r="A49" s="23"/>
      <c r="B49" s="23"/>
      <c r="C49" s="23"/>
      <c r="D49" s="27"/>
      <c r="E49" s="27"/>
      <c r="F49" s="23"/>
      <c r="G49" s="27"/>
      <c r="H49" s="23"/>
    </row>
    <row r="50">
      <c r="A50" s="23"/>
      <c r="B50" s="23"/>
      <c r="C50" s="23"/>
      <c r="D50" s="27"/>
      <c r="E50" s="27"/>
      <c r="F50" s="23"/>
      <c r="G50" s="27"/>
      <c r="H50" s="23"/>
    </row>
    <row r="51">
      <c r="A51" s="23"/>
      <c r="B51" s="23"/>
      <c r="C51" s="23"/>
      <c r="D51" s="27"/>
      <c r="E51" s="27"/>
      <c r="F51" s="23"/>
      <c r="G51" s="27"/>
      <c r="H51" s="23"/>
    </row>
    <row r="52">
      <c r="A52" s="23"/>
      <c r="B52" s="23"/>
      <c r="C52" s="23"/>
      <c r="D52" s="27"/>
      <c r="E52" s="27"/>
      <c r="F52" s="23"/>
      <c r="G52" s="27"/>
      <c r="H52" s="23"/>
    </row>
    <row r="53">
      <c r="A53" s="23"/>
      <c r="B53" s="23"/>
      <c r="C53" s="23"/>
      <c r="D53" s="27"/>
      <c r="E53" s="27"/>
      <c r="F53" s="23"/>
      <c r="G53" s="27"/>
      <c r="H53" s="23"/>
    </row>
    <row r="54">
      <c r="A54" s="23"/>
      <c r="B54" s="23"/>
      <c r="C54" s="23"/>
      <c r="D54" s="27"/>
      <c r="E54" s="27"/>
      <c r="F54" s="23"/>
      <c r="G54" s="27"/>
      <c r="H54" s="23"/>
    </row>
    <row r="55">
      <c r="A55" s="23"/>
      <c r="B55" s="23"/>
      <c r="C55" s="23"/>
      <c r="D55" s="27"/>
      <c r="E55" s="27"/>
      <c r="F55" s="23"/>
      <c r="G55" s="27"/>
      <c r="H55" s="23"/>
    </row>
    <row r="56">
      <c r="A56" s="23"/>
      <c r="B56" s="23"/>
      <c r="C56" s="23"/>
      <c r="D56" s="27"/>
      <c r="E56" s="27"/>
      <c r="F56" s="23"/>
      <c r="G56" s="27"/>
      <c r="H56" s="23"/>
    </row>
    <row r="57">
      <c r="A57" s="23"/>
      <c r="B57" s="23"/>
      <c r="C57" s="23"/>
      <c r="D57" s="27"/>
      <c r="E57" s="27"/>
      <c r="F57" s="23"/>
      <c r="G57" s="27"/>
      <c r="H57" s="23"/>
    </row>
    <row r="58">
      <c r="A58" s="23"/>
      <c r="B58" s="23"/>
      <c r="C58" s="23"/>
      <c r="D58" s="27"/>
      <c r="E58" s="27"/>
      <c r="F58" s="23"/>
      <c r="G58" s="27"/>
      <c r="H58" s="23"/>
    </row>
    <row r="59">
      <c r="A59" s="23"/>
      <c r="B59" s="23"/>
      <c r="C59" s="23"/>
      <c r="D59" s="27"/>
      <c r="E59" s="27"/>
      <c r="F59" s="23"/>
      <c r="G59" s="27"/>
      <c r="H59" s="23"/>
    </row>
    <row r="60">
      <c r="A60" s="23"/>
      <c r="B60" s="23"/>
      <c r="C60" s="23"/>
      <c r="D60" s="27"/>
      <c r="E60" s="27"/>
      <c r="F60" s="23"/>
      <c r="G60" s="27"/>
      <c r="H60" s="23"/>
    </row>
    <row r="61">
      <c r="A61" s="23"/>
      <c r="B61" s="23"/>
      <c r="C61" s="23"/>
      <c r="D61" s="27"/>
      <c r="E61" s="27"/>
      <c r="F61" s="23"/>
      <c r="G61" s="27"/>
      <c r="H61" s="23"/>
    </row>
    <row r="62">
      <c r="A62" s="23"/>
      <c r="B62" s="23"/>
      <c r="C62" s="23"/>
      <c r="D62" s="27"/>
      <c r="E62" s="27"/>
      <c r="F62" s="23"/>
      <c r="G62" s="27"/>
      <c r="H62" s="23"/>
    </row>
    <row r="63" ht="14.4">
      <c r="A63" s="34"/>
      <c r="B63" s="34"/>
      <c r="C63" s="34"/>
      <c r="D63" s="35"/>
      <c r="E63" s="35"/>
      <c r="F63" s="34"/>
      <c r="G63" s="35"/>
      <c r="H63" s="34"/>
    </row>
    <row r="64">
      <c r="C64" s="36"/>
      <c r="D64" s="36"/>
      <c r="E64" s="36"/>
      <c r="F64" s="36"/>
    </row>
    <row r="65">
      <c r="C65" s="36"/>
      <c r="D65" s="36"/>
      <c r="E65" s="36"/>
      <c r="F65" s="36"/>
    </row>
    <row r="66">
      <c r="C66" s="37"/>
      <c r="D66" s="36"/>
      <c r="E66" s="36"/>
      <c r="F66" s="36"/>
    </row>
    <row r="67">
      <c r="C67" s="37"/>
      <c r="D67" s="37"/>
      <c r="E67" s="37"/>
      <c r="F67" s="36"/>
    </row>
    <row r="68">
      <c r="C68" s="36"/>
      <c r="D68" s="37"/>
      <c r="E68" s="37"/>
      <c r="F68" s="36"/>
    </row>
    <row r="69">
      <c r="C69" s="37"/>
      <c r="D69" s="37"/>
      <c r="E69" s="37"/>
      <c r="F69" s="36"/>
    </row>
    <row r="70">
      <c r="C70" s="37"/>
      <c r="D70" s="37"/>
      <c r="E70" s="37"/>
      <c r="F70" s="36"/>
    </row>
    <row r="71">
      <c r="C71" s="37"/>
      <c r="D71" s="37"/>
      <c r="E71" s="37"/>
      <c r="F71" s="36"/>
    </row>
    <row r="72">
      <c r="C72" s="37"/>
      <c r="D72" s="37"/>
      <c r="E72" s="37"/>
      <c r="F72" s="36"/>
    </row>
    <row r="73">
      <c r="C73" s="37"/>
      <c r="D73" s="36"/>
      <c r="E73" s="36"/>
      <c r="F73" s="36"/>
    </row>
    <row r="74">
      <c r="C74" s="36"/>
      <c r="D74" s="37"/>
      <c r="E74" s="37"/>
      <c r="F74" s="36"/>
    </row>
    <row r="75">
      <c r="C75" s="37"/>
      <c r="D75" s="37"/>
      <c r="E75" s="37"/>
      <c r="F75" s="36"/>
    </row>
    <row r="76">
      <c r="C76" s="36"/>
      <c r="D76" s="36"/>
      <c r="E76" s="36"/>
      <c r="F76" s="36"/>
    </row>
    <row r="77">
      <c r="C77" s="36"/>
      <c r="D77" s="36"/>
      <c r="E77" s="36"/>
      <c r="F77" s="36"/>
    </row>
    <row r="78">
      <c r="C78" s="36"/>
      <c r="D78" s="36"/>
      <c r="E78" s="36"/>
      <c r="F78" s="36"/>
    </row>
    <row r="79">
      <c r="C79" s="36"/>
      <c r="D79" s="36"/>
      <c r="E79" s="36"/>
      <c r="F79" s="36"/>
    </row>
    <row r="80">
      <c r="C80" s="36"/>
      <c r="D80" s="36"/>
      <c r="E80" s="36"/>
      <c r="F80" s="36"/>
    </row>
    <row r="81">
      <c r="C81" s="36"/>
      <c r="D81" s="36"/>
      <c r="E81" s="36"/>
      <c r="F81" s="36"/>
    </row>
  </sheetData>
  <mergeCells count="7">
    <mergeCell ref="H8:H9"/>
    <mergeCell ref="A1:G1"/>
    <mergeCell ref="A8:A9"/>
    <mergeCell ref="B8:B9"/>
    <mergeCell ref="F8:F9"/>
    <mergeCell ref="G8:G9"/>
    <mergeCell ref="C8:E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4700F6-00AD-4177-81F4-00C7006C0036}" type="list" allowBlank="1" error="Put checked or unchecked" errorStyle="stop" errorTitle="Input error" imeMode="noControl" operator="between" showDropDown="0" showErrorMessage="1" showInputMessage="1">
          <x14:formula1>
            <xm:f>$M$8:$M$9</xm:f>
          </x14:formula1>
          <xm:sqref>C10:C16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revision>1</cp:revision>
  <dcterms:created xsi:type="dcterms:W3CDTF">2021-08-02T03:05:35Z</dcterms:created>
  <dcterms:modified xsi:type="dcterms:W3CDTF">2025-10-19T11:51:33Z</dcterms:modified>
</cp:coreProperties>
</file>